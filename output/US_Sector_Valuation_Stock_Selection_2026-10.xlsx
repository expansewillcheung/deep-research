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Sector_Map" sheetId="3" state="visible" r:id="rId5"/>
    <sheet name="Methodology" sheetId="4" state="visible" r:id="rId6"/>
    <sheet name="Competition" sheetId="5" state="visible" r:id="rId7"/>
    <sheet name="Macro" sheetId="6" state="visible" r:id="rId8"/>
    <sheet name="Comps" sheetId="7" state="visible" r:id="rId9"/>
    <sheet name="Financials" sheetId="8" state="visible" r:id="rId10"/>
    <sheet name="Valuation" sheetId="9" state="visible" r:id="rId11"/>
    <sheet name="Scorecard" sheetId="10" state="visible" r:id="rId12"/>
    <sheet name="Picks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WenQuanYi Zen Hei"/>
            <family val="2"/>
          </rPr>
          <t xml:space="preserve">關鍵假設：</t>
        </r>
        <r>
          <rPr>
            <sz val="10"/>
            <rFont val="Arial"/>
            <family val="2"/>
          </rPr>
          <t xml:space="preserve">10Y ≈ 4.6%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7/24 </t>
        </r>
        <r>
          <rPr>
            <sz val="10"/>
            <rFont val="WenQuanYi Zen Hei"/>
            <family val="2"/>
          </rPr>
          <t xml:space="preserve">為 </t>
        </r>
        <r>
          <rPr>
            <sz val="10"/>
            <rFont val="Arial"/>
            <family val="2"/>
          </rPr>
          <t xml:space="preserve">4.66%</t>
        </r>
        <r>
          <rPr>
            <sz val="10"/>
            <rFont val="WenQuanYi Zen Hei"/>
            <family val="2"/>
          </rPr>
          <t xml:space="preserve">、</t>
        </r>
        <r>
          <rPr>
            <sz val="10"/>
            <rFont val="Arial"/>
            <family val="2"/>
          </rPr>
          <t xml:space="preserve">9/2 </t>
        </r>
        <r>
          <rPr>
            <sz val="10"/>
            <rFont val="WenQuanYi Zen Hei"/>
            <family val="2"/>
          </rPr>
          <t xml:space="preserve">為 </t>
        </r>
        <r>
          <rPr>
            <sz val="10"/>
            <rFont val="Arial"/>
            <family val="2"/>
          </rPr>
          <t xml:space="preserve">4.79%</t>
        </r>
        <r>
          <rPr>
            <sz val="10"/>
            <rFont val="WenQuanYi Zen Hei"/>
            <family val="2"/>
          </rPr>
          <t xml:space="preserve">；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WenQuanYi Zen Hei"/>
            <family val="2"/>
          </rPr>
          <t xml:space="preserve">月實際值未取得）。用於 </t>
        </r>
        <r>
          <rPr>
            <sz val="10"/>
            <rFont val="Arial"/>
            <family val="2"/>
          </rPr>
          <t xml:space="preserve">ERP </t>
        </r>
        <r>
          <rPr>
            <sz val="10"/>
            <rFont val="WenQuanYi Zen Hei"/>
            <family val="2"/>
          </rPr>
          <t xml:space="preserve">與 </t>
        </r>
        <r>
          <rPr>
            <sz val="10"/>
            <rFont val="Arial"/>
            <family val="2"/>
          </rPr>
          <t xml:space="preserve">DCF </t>
        </r>
        <r>
          <rPr>
            <sz val="10"/>
            <rFont val="WenQuanYi Zen Hei"/>
            <family val="2"/>
          </rPr>
          <t xml:space="preserve">無風險利率。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WenQuanYi Zen Hei"/>
            <family val="2"/>
          </rPr>
          <t xml:space="preserve">營收</t>
        </r>
        <r>
          <rPr>
            <sz val="10"/>
            <rFont val="Arial"/>
            <family val="2"/>
          </rPr>
          <t xml:space="preserve">/EPS </t>
        </r>
        <r>
          <rPr>
            <sz val="10"/>
            <rFont val="WenQuanYi Zen Hei"/>
            <family val="2"/>
          </rPr>
          <t xml:space="preserve">欄為 </t>
        </r>
        <r>
          <rPr>
            <sz val="10"/>
            <rFont val="Arial"/>
            <family val="2"/>
          </rPr>
          <t xml:space="preserve">FY2020→FY2025 5 </t>
        </r>
        <r>
          <rPr>
            <sz val="10"/>
            <rFont val="WenQuanYi Zen Hei"/>
            <family val="2"/>
          </rPr>
          <t xml:space="preserve">年 </t>
        </r>
        <r>
          <rPr>
            <sz val="10"/>
            <rFont val="Arial"/>
            <family val="2"/>
          </rPr>
          <t xml:space="preserve">CAGR</t>
        </r>
        <r>
          <rPr>
            <sz val="10"/>
            <rFont val="WenQuanYi Zen Hei"/>
            <family val="2"/>
          </rPr>
          <t xml:space="preserve">；</t>
        </r>
        <r>
          <rPr>
            <sz val="10"/>
            <rFont val="Arial"/>
            <family val="2"/>
          </rPr>
          <t xml:space="preserve">ROE </t>
        </r>
        <r>
          <rPr>
            <sz val="10"/>
            <rFont val="WenQuanYi Zen Hei"/>
            <family val="2"/>
          </rPr>
          <t xml:space="preserve">欄為 </t>
        </r>
        <r>
          <rPr>
            <sz val="10"/>
            <rFont val="Arial"/>
            <family val="2"/>
          </rPr>
          <t xml:space="preserve">FY2021–FY2025 </t>
        </r>
        <r>
          <rPr>
            <sz val="10"/>
            <rFont val="WenQuanYi Zen Hei"/>
            <family val="2"/>
          </rPr>
          <t xml:space="preserve">平均。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2" authorId="0">
      <text>
        <r>
          <rPr>
            <sz val="10"/>
            <rFont val="Arial"/>
            <family val="2"/>
          </rPr>
          <t xml:space="preserve">WELL</t>
        </r>
        <r>
          <rPr>
            <sz val="10"/>
            <rFont val="WenQuanYi Zen Hei"/>
            <family val="2"/>
          </rPr>
          <t xml:space="preserve">：按新季度股息 </t>
        </r>
        <r>
          <rPr>
            <sz val="10"/>
            <rFont val="Arial"/>
            <family val="2"/>
          </rPr>
          <t xml:space="preserve">$0.85×4 ÷ </t>
        </r>
        <r>
          <rPr>
            <sz val="10"/>
            <rFont val="WenQuanYi Zen Hei"/>
            <family val="2"/>
          </rPr>
          <t xml:space="preserve">股價 ≈ </t>
        </r>
        <r>
          <rPr>
            <sz val="10"/>
            <rFont val="Arial"/>
            <family val="2"/>
          </rPr>
          <t xml:space="preserve">1.5%</t>
        </r>
        <r>
          <rPr>
            <sz val="10"/>
            <rFont val="WenQuanYi Zen Hei"/>
            <family val="2"/>
          </rPr>
          <t xml:space="preserve">（</t>
        </r>
        <r>
          <rPr>
            <sz val="10"/>
            <rFont val="Arial"/>
            <family val="2"/>
          </rPr>
          <t xml:space="preserve">TTM 1.36% </t>
        </r>
        <r>
          <rPr>
            <sz val="10"/>
            <rFont val="WenQuanYi Zen Hei"/>
            <family val="2"/>
          </rPr>
          <t xml:space="preserve">未反映 </t>
        </r>
        <r>
          <rPr>
            <sz val="10"/>
            <rFont val="Arial"/>
            <family val="2"/>
          </rPr>
          <t xml:space="preserve">15% </t>
        </r>
        <r>
          <rPr>
            <sz val="10"/>
            <rFont val="WenQuanYi Zen Hei"/>
            <family val="2"/>
          </rPr>
          <t xml:space="preserve">加息）。</t>
        </r>
      </text>
    </comment>
    <comment ref="N23" authorId="0">
      <text>
        <r>
          <rPr>
            <sz val="10"/>
            <rFont val="Arial"/>
            <family val="2"/>
          </rPr>
          <t xml:space="preserve">S&amp;P 500 Fwd </t>
        </r>
        <r>
          <rPr>
            <sz val="10"/>
            <rFont val="WenQuanYi Zen Hei"/>
            <family val="2"/>
          </rPr>
          <t xml:space="preserve">盈利收益率 </t>
        </r>
        <r>
          <rPr>
            <sz val="10"/>
            <rFont val="Arial"/>
            <family val="2"/>
          </rPr>
          <t xml:space="preserve">= 1/19.1 ≈ 5.2%</t>
        </r>
        <r>
          <rPr>
            <sz val="10"/>
            <rFont val="WenQuanYi Zen Hei"/>
            <family val="2"/>
          </rPr>
          <t xml:space="preserve">（實質長期回報近似值，未計增長與估值變化）。</t>
        </r>
      </text>
    </comment>
  </commentList>
</comments>
</file>

<file path=xl/sharedStrings.xml><?xml version="1.0" encoding="utf-8"?>
<sst xmlns="http://schemas.openxmlformats.org/spreadsheetml/2006/main" count="1143" uniqueCount="683">
  <si>
    <r>
      <rPr>
        <b val="true"/>
        <sz val="24"/>
        <color rgb="FFFFFFFF"/>
        <rFont val="WenQuanYi Zen Hei"/>
        <family val="2"/>
      </rPr>
      <t xml:space="preserve">美股板塊估值地圖 </t>
    </r>
    <r>
      <rPr>
        <b val="true"/>
        <sz val="24"/>
        <color rgb="FFFFFFFF"/>
        <rFont val="Arial"/>
        <family val="0"/>
        <charset val="1"/>
      </rPr>
      <t xml:space="preserve">&amp; </t>
    </r>
    <r>
      <rPr>
        <b val="true"/>
        <sz val="24"/>
        <color rgb="FFFFFFFF"/>
        <rFont val="WenQuanYi Zen Hei"/>
        <family val="2"/>
      </rPr>
      <t xml:space="preserve">低估板塊龍頭選股分析</t>
    </r>
  </si>
  <si>
    <t xml:space="preserve">US Sector Valuation Map &amp; Value-Sector Leaders: 5-Year Buffett-Lens Stock Selection</t>
  </si>
  <si>
    <r>
      <rPr>
        <sz val="11"/>
        <color rgb="FFFFFFFF"/>
        <rFont val="WenQuanYi Zen Hei"/>
        <family val="2"/>
      </rPr>
      <t xml:space="preserve">數據截至：</t>
    </r>
    <r>
      <rPr>
        <sz val="11"/>
        <color rgb="FFFFFFFF"/>
        <rFont val="Arial"/>
        <family val="0"/>
        <charset val="1"/>
      </rPr>
      <t xml:space="preserve">2026-10-09 </t>
    </r>
    <r>
      <rPr>
        <sz val="11"/>
        <color rgb="FFFFFFFF"/>
        <rFont val="WenQuanYi Zen Hei"/>
        <family val="2"/>
      </rPr>
      <t xml:space="preserve">美股收盤（</t>
    </r>
    <r>
      <rPr>
        <sz val="11"/>
        <color rgb="FFFFFFFF"/>
        <rFont val="Arial"/>
        <family val="0"/>
        <charset val="1"/>
      </rPr>
      <t xml:space="preserve">LongBridge OpenAPI</t>
    </r>
    <r>
      <rPr>
        <sz val="11"/>
        <color rgb="FFFFFFFF"/>
        <rFont val="WenQuanYi Zen Hei"/>
        <family val="2"/>
      </rPr>
      <t xml:space="preserve">）｜板塊估值：</t>
    </r>
    <r>
      <rPr>
        <sz val="11"/>
        <color rgb="FFFFFFFF"/>
        <rFont val="Arial"/>
        <family val="0"/>
        <charset val="1"/>
      </rPr>
      <t xml:space="preserve">FactSet Earnings Insight</t>
    </r>
    <r>
      <rPr>
        <sz val="11"/>
        <color rgb="FFFFFFFF"/>
        <rFont val="WenQuanYi Zen Hei"/>
        <family val="2"/>
      </rPr>
      <t xml:space="preserve">（</t>
    </r>
    <r>
      <rPr>
        <sz val="11"/>
        <color rgb="FFFFFFFF"/>
        <rFont val="Arial"/>
        <family val="0"/>
        <charset val="1"/>
      </rPr>
      <t xml:space="preserve">2026-10-09</t>
    </r>
    <r>
      <rPr>
        <sz val="11"/>
        <color rgb="FFFFFFFF"/>
        <rFont val="WenQuanYi Zen Hei"/>
        <family val="2"/>
      </rPr>
      <t xml:space="preserve">）</t>
    </r>
  </si>
  <si>
    <r>
      <rPr>
        <sz val="11"/>
        <color rgb="FFFFFFFF"/>
        <rFont val="WenQuanYi Zen Hei"/>
        <family val="2"/>
      </rPr>
      <t xml:space="preserve">覆蓋：</t>
    </r>
    <r>
      <rPr>
        <sz val="11"/>
        <color rgb="FFFFFFFF"/>
        <rFont val="Arial"/>
        <family val="0"/>
        <charset val="1"/>
      </rPr>
      <t xml:space="preserve">GICS 11 </t>
    </r>
    <r>
      <rPr>
        <sz val="11"/>
        <color rgb="FFFFFFFF"/>
        <rFont val="WenQuanYi Zen Hei"/>
        <family val="2"/>
      </rPr>
      <t xml:space="preserve">大板塊 → </t>
    </r>
    <r>
      <rPr>
        <sz val="11"/>
        <color rgb="FFFFFFFF"/>
        <rFont val="Arial"/>
        <family val="0"/>
        <charset val="1"/>
      </rPr>
      <t xml:space="preserve">4 </t>
    </r>
    <r>
      <rPr>
        <sz val="11"/>
        <color rgb="FFFFFFFF"/>
        <rFont val="WenQuanYi Zen Hei"/>
        <family val="2"/>
      </rPr>
      <t xml:space="preserve">個低估</t>
    </r>
    <r>
      <rPr>
        <sz val="11"/>
        <color rgb="FFFFFFFF"/>
        <rFont val="Arial"/>
        <family val="0"/>
        <charset val="1"/>
      </rPr>
      <t xml:space="preserve">/</t>
    </r>
    <r>
      <rPr>
        <sz val="11"/>
        <color rgb="FFFFFFFF"/>
        <rFont val="WenQuanYi Zen Hei"/>
        <family val="2"/>
      </rPr>
      <t xml:space="preserve">低估值板塊 → </t>
    </r>
    <r>
      <rPr>
        <sz val="11"/>
        <color rgb="FFFFFFFF"/>
        <rFont val="Arial"/>
        <family val="0"/>
        <charset val="1"/>
      </rPr>
      <t xml:space="preserve">12 </t>
    </r>
    <r>
      <rPr>
        <sz val="11"/>
        <color rgb="FFFFFFFF"/>
        <rFont val="WenQuanYi Zen Hei"/>
        <family val="2"/>
      </rPr>
      <t xml:space="preserve">家龍頭（每板塊市值前 </t>
    </r>
    <r>
      <rPr>
        <sz val="11"/>
        <color rgb="FFFFFFFF"/>
        <rFont val="Arial"/>
        <family val="0"/>
        <charset val="1"/>
      </rPr>
      <t xml:space="preserve">3</t>
    </r>
    <r>
      <rPr>
        <sz val="11"/>
        <color rgb="FFFFFFFF"/>
        <rFont val="WenQuanYi Zen Hei"/>
        <family val="2"/>
      </rPr>
      <t xml:space="preserve">）→ 最終 </t>
    </r>
    <r>
      <rPr>
        <sz val="11"/>
        <color rgb="FFFFFFFF"/>
        <rFont val="Arial"/>
        <family val="0"/>
        <charset val="1"/>
      </rPr>
      <t xml:space="preserve">5+1 </t>
    </r>
    <r>
      <rPr>
        <sz val="11"/>
        <color rgb="FFFFFFFF"/>
        <rFont val="WenQuanYi Zen Hei"/>
        <family val="2"/>
      </rPr>
      <t xml:space="preserve">檔 </t>
    </r>
    <r>
      <rPr>
        <sz val="11"/>
        <color rgb="FFFFFFFF"/>
        <rFont val="Arial"/>
        <family val="0"/>
        <charset val="1"/>
      </rPr>
      <t xml:space="preserve">5 </t>
    </r>
    <r>
      <rPr>
        <sz val="11"/>
        <color rgb="FFFFFFFF"/>
        <rFont val="WenQuanYi Zen Hei"/>
        <family val="2"/>
      </rPr>
      <t xml:space="preserve">年期組合</t>
    </r>
  </si>
  <si>
    <r>
      <rPr>
        <b val="true"/>
        <sz val="13"/>
        <color rgb="FFFFD966"/>
        <rFont val="WenQuanYi Zen Hei"/>
        <family val="2"/>
      </rPr>
      <t xml:space="preserve">目錄 </t>
    </r>
    <r>
      <rPr>
        <b val="true"/>
        <sz val="13"/>
        <color rgb="FFFFD966"/>
        <rFont val="Arial"/>
        <family val="0"/>
        <charset val="1"/>
      </rPr>
      <t xml:space="preserve">/ Contents</t>
    </r>
  </si>
  <si>
    <t xml:space="preserve"> 1.  Summary  —  結論摘要與最終組合</t>
  </si>
  <si>
    <t xml:space="preserve"> 2.  Sector_Map  —  11 大板塊 Forward P/E vs 5Y/10Y 均值、盈利增速、低估/高估判定</t>
  </si>
  <si>
    <t xml:space="preserve"> 3.  Methodology  —  各板塊估值錨、P/E 失真點、板塊估值算法合理性評估</t>
  </si>
  <si>
    <t xml:space="preserve"> 4.  Competition  —  板塊內部競爭方式、集中度、護城河來源</t>
  </si>
  <si>
    <t xml:space="preserve"> 5.  Macro  —  宏觀儀表板 + 個股宏觀敏感度矩陣</t>
  </si>
  <si>
    <t xml:space="preserve"> 6.  Comps  —  12 家龍頭可比估值表（可重算）</t>
  </si>
  <si>
    <t xml:space="preserve"> 7.  Financials  —  FY2020–FY2025 財務數據（LongBridge）</t>
  </si>
  <si>
    <t xml:space="preserve"> 8.  Valuation  —  多方法估值：歷史倍數 / 同業倍數 / 兩階段 DCF·DDM / 共識目標價 + 反向 DCF</t>
  </si>
  <si>
    <t xml:space="preserve"> 9.  Scorecard  —  巴菲特準則：業務易懂、護城河、ROE、資產負債表、管理層、宏觀韌性 + 估值分</t>
  </si>
  <si>
    <t xml:space="preserve">10.  Picks  —  5 年期預期回報、排序、組合權重、買入理由、出場條件</t>
  </si>
  <si>
    <t xml:space="preserve">11.  Sources  —  數據來源、假設、免責聲明</t>
  </si>
  <si>
    <r>
      <rPr>
        <sz val="10"/>
        <color rgb="FFFFD966"/>
        <rFont val="WenQuanYi Zen Hei"/>
        <family val="2"/>
      </rPr>
      <t xml:space="preserve">圖例：藍字 </t>
    </r>
    <r>
      <rPr>
        <sz val="10"/>
        <color rgb="FFFFD966"/>
        <rFont val="Arial"/>
        <family val="0"/>
        <charset val="1"/>
      </rPr>
      <t xml:space="preserve">= </t>
    </r>
    <r>
      <rPr>
        <sz val="10"/>
        <color rgb="FFFFD966"/>
        <rFont val="WenQuanYi Zen Hei"/>
        <family val="2"/>
      </rPr>
      <t xml:space="preserve">硬編碼輸入</t>
    </r>
    <r>
      <rPr>
        <sz val="10"/>
        <color rgb="FFFFD966"/>
        <rFont val="Arial"/>
        <family val="0"/>
        <charset val="1"/>
      </rPr>
      <t xml:space="preserve">/</t>
    </r>
    <r>
      <rPr>
        <sz val="10"/>
        <color rgb="FFFFD966"/>
        <rFont val="WenQuanYi Zen Hei"/>
        <family val="2"/>
      </rPr>
      <t xml:space="preserve">數據；黑字 </t>
    </r>
    <r>
      <rPr>
        <sz val="10"/>
        <color rgb="FFFFD966"/>
        <rFont val="Arial"/>
        <family val="0"/>
        <charset val="1"/>
      </rPr>
      <t xml:space="preserve">= </t>
    </r>
    <r>
      <rPr>
        <sz val="10"/>
        <color rgb="FFFFD966"/>
        <rFont val="WenQuanYi Zen Hei"/>
        <family val="2"/>
      </rPr>
      <t xml:space="preserve">公式；綠字 </t>
    </r>
    <r>
      <rPr>
        <sz val="10"/>
        <color rgb="FFFFD966"/>
        <rFont val="Arial"/>
        <family val="0"/>
        <charset val="1"/>
      </rPr>
      <t xml:space="preserve">= </t>
    </r>
    <r>
      <rPr>
        <sz val="10"/>
        <color rgb="FFFFD966"/>
        <rFont val="WenQuanYi Zen Hei"/>
        <family val="2"/>
      </rPr>
      <t xml:space="preserve">跨表連結；黃底 </t>
    </r>
    <r>
      <rPr>
        <sz val="10"/>
        <color rgb="FFFFD966"/>
        <rFont val="Arial"/>
        <family val="0"/>
        <charset val="1"/>
      </rPr>
      <t xml:space="preserve">= </t>
    </r>
    <r>
      <rPr>
        <sz val="10"/>
        <color rgb="FFFFD966"/>
        <rFont val="WenQuanYi Zen Hei"/>
        <family val="2"/>
      </rPr>
      <t xml:space="preserve">關鍵假設（可改動，全表自動重算）</t>
    </r>
  </si>
  <si>
    <t xml:space="preserve">免責聲明：本工作簿僅供研究與教育用途，不構成任何投資建議或買賣邀約。所有估值依賴公開數據與主觀假設，可能有誤；投資前請自行核實並諮詢持牌顧問。</t>
  </si>
  <si>
    <r>
      <rPr>
        <b val="true"/>
        <sz val="16"/>
        <color rgb="FF1F3864"/>
        <rFont val="WenQuanYi Zen Hei"/>
        <family val="2"/>
      </rPr>
      <t xml:space="preserve">結論摘要 </t>
    </r>
    <r>
      <rPr>
        <b val="true"/>
        <sz val="16"/>
        <color rgb="FF1F3864"/>
        <rFont val="Arial"/>
        <family val="0"/>
        <charset val="1"/>
      </rPr>
      <t xml:space="preserve">Executive Summary</t>
    </r>
  </si>
  <si>
    <r>
      <rPr>
        <i val="true"/>
        <sz val="8"/>
        <color rgb="FF595959"/>
        <rFont val="WenQuanYi Zen Hei"/>
        <family val="2"/>
      </rPr>
      <t xml:space="preserve">數據截至 </t>
    </r>
    <r>
      <rPr>
        <i val="true"/>
        <sz val="8"/>
        <color rgb="FF595959"/>
        <rFont val="Arial"/>
        <family val="0"/>
        <charset val="1"/>
      </rPr>
      <t xml:space="preserve">2026-10-09</t>
    </r>
    <r>
      <rPr>
        <i val="true"/>
        <sz val="8"/>
        <color rgb="FF595959"/>
        <rFont val="WenQuanYi Zen Hei"/>
        <family val="2"/>
      </rPr>
      <t xml:space="preserve">；所有數字連結至對應工作表，可隨假設重算。</t>
    </r>
  </si>
  <si>
    <t xml:space="preserve">一、核心結論</t>
  </si>
  <si>
    <r>
      <rPr>
        <sz val="10"/>
        <color rgb="FF000000"/>
        <rFont val="Arial"/>
        <family val="0"/>
        <charset val="1"/>
      </rPr>
      <t xml:space="preserve">1) </t>
    </r>
    <r>
      <rPr>
        <sz val="10"/>
        <color rgb="FF000000"/>
        <rFont val="WenQuanYi Zen Hei"/>
        <family val="2"/>
      </rPr>
      <t xml:space="preserve">大盤：</t>
    </r>
    <r>
      <rPr>
        <sz val="10"/>
        <color rgb="FF000000"/>
        <rFont val="Arial"/>
        <family val="0"/>
        <charset val="1"/>
      </rPr>
      <t xml:space="preserve">S&amp;P 500 Fwd P/E 19.1x = 10Y </t>
    </r>
    <r>
      <rPr>
        <sz val="10"/>
        <color rgb="FF000000"/>
        <rFont val="WenQuanYi Zen Hei"/>
        <family val="2"/>
      </rPr>
      <t xml:space="preserve">均值，但 </t>
    </r>
    <r>
      <rPr>
        <sz val="10"/>
        <color rgb="FF000000"/>
        <rFont val="Arial"/>
        <family val="0"/>
        <charset val="1"/>
      </rPr>
      <t xml:space="preserve">Trailing 26.0x </t>
    </r>
    <r>
      <rPr>
        <sz val="10"/>
        <color rgb="FF000000"/>
        <rFont val="WenQuanYi Zen Hei"/>
        <family val="2"/>
      </rPr>
      <t xml:space="preserve">偏高；盈利動能極強（</t>
    </r>
    <r>
      <rPr>
        <sz val="10"/>
        <color rgb="FF000000"/>
        <rFont val="Arial"/>
        <family val="0"/>
        <charset val="1"/>
      </rPr>
      <t xml:space="preserve">Q3E +29.6%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CY26E +32.7%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CY27 </t>
    </r>
    <r>
      <rPr>
        <sz val="10"/>
        <color rgb="FF000000"/>
        <rFont val="WenQuanYi Zen Hei"/>
        <family val="2"/>
      </rPr>
      <t xml:space="preserve">放緩至 </t>
    </r>
    <r>
      <rPr>
        <sz val="10"/>
        <color rgb="FF000000"/>
        <rFont val="Arial"/>
        <family val="0"/>
        <charset val="1"/>
      </rPr>
      <t xml:space="preserve">+15.8%</t>
    </r>
    <r>
      <rPr>
        <sz val="10"/>
        <color rgb="FF000000"/>
        <rFont val="WenQuanYi Zen Hei"/>
        <family val="2"/>
      </rPr>
      <t xml:space="preserve">。整體「合理偏貴」，選股重於擇時。</t>
    </r>
  </si>
  <si>
    <r>
      <rPr>
        <sz val="10"/>
        <color rgb="FF000000"/>
        <rFont val="Arial"/>
        <family val="0"/>
        <charset val="1"/>
      </rPr>
      <t xml:space="preserve">2) </t>
    </r>
    <r>
      <rPr>
        <sz val="10"/>
        <color rgb="FF000000"/>
        <rFont val="WenQuanYi Zen Hei"/>
        <family val="2"/>
      </rPr>
      <t xml:space="preserve">板塊：相對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均值最低估——公用事業</t>
    </r>
    <r>
      <rPr>
        <sz val="10"/>
        <color rgb="FF000000"/>
        <rFont val="Arial"/>
        <family val="0"/>
        <charset val="1"/>
      </rPr>
      <t xml:space="preserve">(−10.6%)</t>
    </r>
    <r>
      <rPr>
        <sz val="10"/>
        <color rgb="FF000000"/>
        <rFont val="WenQuanYi Zen Hei"/>
        <family val="2"/>
      </rPr>
      <t xml:space="preserve">、房地產</t>
    </r>
    <r>
      <rPr>
        <sz val="10"/>
        <color rgb="FF000000"/>
        <rFont val="Arial"/>
        <family val="0"/>
        <charset val="1"/>
      </rPr>
      <t xml:space="preserve">(−10.2%)</t>
    </r>
    <r>
      <rPr>
        <sz val="10"/>
        <color rgb="FF000000"/>
        <rFont val="WenQuanYi Zen Hei"/>
        <family val="2"/>
      </rPr>
      <t xml:space="preserve">、原材料</t>
    </r>
    <r>
      <rPr>
        <sz val="10"/>
        <color rgb="FF000000"/>
        <rFont val="Arial"/>
        <family val="0"/>
        <charset val="1"/>
      </rPr>
      <t xml:space="preserve">(−6.7%)</t>
    </r>
    <r>
      <rPr>
        <sz val="10"/>
        <color rgb="FF000000"/>
        <rFont val="WenQuanYi Zen Hei"/>
        <family val="2"/>
      </rPr>
      <t xml:space="preserve">；最高估——能源</t>
    </r>
    <r>
      <rPr>
        <sz val="10"/>
        <color rgb="FF000000"/>
        <rFont val="Arial"/>
        <family val="0"/>
        <charset val="1"/>
      </rPr>
      <t xml:space="preserve">(+22.7%</t>
    </r>
    <r>
      <rPr>
        <sz val="10"/>
        <color rgb="FF000000"/>
        <rFont val="WenQuanYi Zen Hei"/>
        <family val="2"/>
      </rPr>
      <t xml:space="preserve">，盈利頂部陷阱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、工業</t>
    </r>
    <r>
      <rPr>
        <sz val="10"/>
        <color rgb="FF000000"/>
        <rFont val="Arial"/>
        <family val="0"/>
        <charset val="1"/>
      </rPr>
      <t xml:space="preserve">(+14%)</t>
    </r>
    <r>
      <rPr>
        <sz val="10"/>
        <color rgb="FF000000"/>
        <rFont val="WenQuanYi Zen Hei"/>
        <family val="2"/>
      </rPr>
      <t xml:space="preserve">、醫療</t>
    </r>
    <r>
      <rPr>
        <sz val="10"/>
        <color rgb="FF000000"/>
        <rFont val="Arial"/>
        <family val="0"/>
        <charset val="1"/>
      </rPr>
      <t xml:space="preserve">(+10%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LLY </t>
    </r>
    <r>
      <rPr>
        <sz val="10"/>
        <color rgb="FF000000"/>
        <rFont val="WenQuanYi Zen Hei"/>
        <family val="2"/>
      </rPr>
      <t xml:space="preserve">拉高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</si>
  <si>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3) </t>
    </r>
    <r>
      <rPr>
        <sz val="10"/>
        <color rgb="FF000000"/>
        <rFont val="WenQuanYi Zen Hei"/>
        <family val="2"/>
      </rPr>
      <t xml:space="preserve">宏觀：伊朗衝突推高油價</t>
    </r>
    <r>
      <rPr>
        <sz val="10"/>
        <color rgb="FF000000"/>
        <rFont val="Arial"/>
        <family val="0"/>
        <charset val="1"/>
      </rPr>
      <t xml:space="preserve">(Q3 </t>
    </r>
    <r>
      <rPr>
        <sz val="10"/>
        <color rgb="FF000000"/>
        <rFont val="WenQuanYi Zen Hei"/>
        <family val="2"/>
      </rPr>
      <t xml:space="preserve">均價 </t>
    </r>
    <r>
      <rPr>
        <sz val="10"/>
        <color rgb="FF000000"/>
        <rFont val="Arial"/>
        <family val="0"/>
        <charset val="1"/>
      </rPr>
      <t xml:space="preserve">$85.7)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CPI(3.4%)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Fed 9 </t>
    </r>
    <r>
      <rPr>
        <sz val="10"/>
        <color rgb="FF000000"/>
        <rFont val="WenQuanYi Zen Hei"/>
        <family val="2"/>
      </rPr>
      <t xml:space="preserve">月加息至 </t>
    </r>
    <r>
      <rPr>
        <sz val="10"/>
        <color rgb="FF000000"/>
        <rFont val="Arial"/>
        <family val="0"/>
        <charset val="1"/>
      </rPr>
      <t xml:space="preserve">3.75–4.00%</t>
    </r>
    <r>
      <rPr>
        <sz val="10"/>
        <color rgb="FF000000"/>
        <rFont val="WenQuanYi Zen Hei"/>
        <family val="2"/>
      </rPr>
      <t xml:space="preserve">。利率敏感板塊（公用、</t>
    </r>
    <r>
      <rPr>
        <sz val="10"/>
        <color rgb="FF000000"/>
        <rFont val="Arial"/>
        <family val="0"/>
        <charset val="1"/>
      </rPr>
      <t xml:space="preserve">REIT</t>
    </r>
    <r>
      <rPr>
        <sz val="10"/>
        <color rgb="FF000000"/>
        <rFont val="WenQuanYi Zen Hei"/>
        <family val="2"/>
      </rPr>
      <t xml:space="preserve">）被錯殺，但「高利率更久」仍是主要風險。</t>
    </r>
  </si>
  <si>
    <r>
      <rPr>
        <sz val="10"/>
        <color rgb="FF000000"/>
        <rFont val="Arial"/>
        <family val="0"/>
        <charset val="1"/>
      </rPr>
      <t xml:space="preserve">4) </t>
    </r>
    <r>
      <rPr>
        <sz val="10"/>
        <color rgb="FF000000"/>
        <rFont val="WenQuanYi Zen Hei"/>
        <family val="2"/>
      </rPr>
      <t xml:space="preserve">估值方法：板塊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只能做首輪篩選。</t>
    </r>
    <r>
      <rPr>
        <sz val="10"/>
        <color rgb="FF000000"/>
        <rFont val="Arial"/>
        <family val="0"/>
        <charset val="1"/>
      </rPr>
      <t xml:space="preserve">REIT </t>
    </r>
    <r>
      <rPr>
        <sz val="10"/>
        <color rgb="FF000000"/>
        <rFont val="WenQuanYi Zen Hei"/>
        <family val="2"/>
      </rPr>
      <t xml:space="preserve">要看 </t>
    </r>
    <r>
      <rPr>
        <sz val="10"/>
        <color rgb="FF000000"/>
        <rFont val="Arial"/>
        <family val="0"/>
        <charset val="1"/>
      </rPr>
      <t xml:space="preserve">P/FFO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WELL GAAP P/E 105x vs P/FFO 35x</t>
    </r>
    <r>
      <rPr>
        <sz val="10"/>
        <color rgb="FF000000"/>
        <rFont val="WenQuanYi Zen Hei"/>
        <family val="2"/>
      </rPr>
      <t xml:space="preserve">）、銀行看 </t>
    </r>
    <r>
      <rPr>
        <sz val="10"/>
        <color rgb="FF000000"/>
        <rFont val="Arial"/>
        <family val="0"/>
        <charset val="1"/>
      </rPr>
      <t xml:space="preserve">P/B-ROE</t>
    </r>
    <r>
      <rPr>
        <sz val="10"/>
        <color rgb="FF000000"/>
        <rFont val="WenQuanYi Zen Hei"/>
        <family val="2"/>
      </rPr>
      <t xml:space="preserve">、礦業看中週期價格，否則會誤判。</t>
    </r>
  </si>
  <si>
    <r>
      <rPr>
        <sz val="10"/>
        <color rgb="FF000000"/>
        <rFont val="Arial"/>
        <family val="0"/>
        <charset val="1"/>
      </rPr>
      <t xml:space="preserve">5) </t>
    </r>
    <r>
      <rPr>
        <sz val="10"/>
        <color rgb="FF000000"/>
        <rFont val="WenQuanYi Zen Hei"/>
        <family val="2"/>
      </rPr>
      <t xml:space="preserve">個股：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家龍頭中，</t>
    </r>
    <r>
      <rPr>
        <sz val="10"/>
        <color rgb="FF000000"/>
        <rFont val="Arial"/>
        <family val="0"/>
        <charset val="1"/>
      </rPr>
      <t xml:space="preserve">LIN </t>
    </r>
    <r>
      <rPr>
        <sz val="10"/>
        <color rgb="FF000000"/>
        <rFont val="WenQuanYi Zen Hei"/>
        <family val="2"/>
      </rPr>
      <t xml:space="preserve">是唯一「質量頂級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倍數處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年低位」的組合（但 </t>
    </r>
    <r>
      <rPr>
        <sz val="10"/>
        <color rgb="FF000000"/>
        <rFont val="Arial"/>
        <family val="0"/>
        <charset val="1"/>
      </rPr>
      <t xml:space="preserve">DCF </t>
    </r>
    <r>
      <rPr>
        <sz val="10"/>
        <color rgb="FF000000"/>
        <rFont val="WenQuanYi Zen Hei"/>
        <family val="2"/>
      </rPr>
      <t xml:space="preserve">顯示市場已隱含 </t>
    </r>
    <r>
      <rPr>
        <sz val="10"/>
        <color rgb="FF000000"/>
        <rFont val="Arial"/>
        <family val="0"/>
        <charset val="1"/>
      </rPr>
      <t xml:space="preserve">~5% </t>
    </r>
    <r>
      <rPr>
        <sz val="10"/>
        <color rgb="FF000000"/>
        <rFont val="WenQuanYi Zen Hei"/>
        <family val="2"/>
      </rPr>
      <t xml:space="preserve">永續增長，屬合理價而非深度價值）；</t>
    </r>
    <r>
      <rPr>
        <sz val="10"/>
        <color rgb="FF000000"/>
        <rFont val="Arial"/>
        <family val="0"/>
        <charset val="1"/>
      </rPr>
      <t xml:space="preserve">BRK.B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JPM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PLD </t>
    </r>
    <r>
      <rPr>
        <sz val="10"/>
        <color rgb="FF000000"/>
        <rFont val="WenQuanYi Zen Hei"/>
        <family val="2"/>
      </rPr>
      <t xml:space="preserve">屬「合理價格買卓越公司」；</t>
    </r>
    <r>
      <rPr>
        <sz val="10"/>
        <color rgb="FF000000"/>
        <rFont val="Arial"/>
        <family val="0"/>
        <charset val="1"/>
      </rPr>
      <t xml:space="preserve">NEE </t>
    </r>
    <r>
      <rPr>
        <sz val="10"/>
        <color rgb="FF000000"/>
        <rFont val="WenQuanYi Zen Hei"/>
        <family val="2"/>
      </rPr>
      <t xml:space="preserve">最便宜但風險最高；</t>
    </r>
    <r>
      <rPr>
        <sz val="10"/>
        <color rgb="FF000000"/>
        <rFont val="Arial"/>
        <family val="0"/>
        <charset val="1"/>
      </rPr>
      <t xml:space="preserve">WELL/EQIX </t>
    </r>
    <r>
      <rPr>
        <sz val="10"/>
        <color rgb="FF000000"/>
        <rFont val="WenQuanYi Zen Hei"/>
        <family val="2"/>
      </rPr>
      <t xml:space="preserve">好公司但太貴；</t>
    </r>
    <r>
      <rPr>
        <sz val="10"/>
        <color rgb="FF000000"/>
        <rFont val="Arial"/>
        <family val="0"/>
        <charset val="1"/>
      </rPr>
      <t xml:space="preserve">NEM/FCX </t>
    </r>
    <r>
      <rPr>
        <sz val="10"/>
        <color rgb="FF000000"/>
        <rFont val="WenQuanYi Zen Hei"/>
        <family val="2"/>
      </rPr>
      <t xml:space="preserve">處週期頂部。</t>
    </r>
  </si>
  <si>
    <r>
      <rPr>
        <sz val="10"/>
        <color rgb="FF000000"/>
        <rFont val="Arial"/>
        <family val="0"/>
        <charset val="1"/>
      </rPr>
      <t xml:space="preserve">6) </t>
    </r>
    <r>
      <rPr>
        <sz val="10"/>
        <color rgb="FF000000"/>
        <rFont val="WenQuanYi Zen Hei"/>
        <family val="2"/>
      </rPr>
      <t xml:space="preserve">估值結論：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家中沒有一家達到「安全邊際 ≥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」的低估門檻（</t>
    </r>
    <r>
      <rPr>
        <sz val="10"/>
        <color rgb="FF000000"/>
        <rFont val="Arial"/>
        <family val="0"/>
        <charset val="1"/>
      </rPr>
      <t xml:space="preserve">NEE </t>
    </r>
    <r>
      <rPr>
        <sz val="10"/>
        <color rgb="FF000000"/>
        <rFont val="WenQuanYi Zen Hei"/>
        <family val="2"/>
      </rPr>
      <t xml:space="preserve">最接近，</t>
    </r>
    <r>
      <rPr>
        <sz val="10"/>
        <color rgb="FF000000"/>
        <rFont val="Arial"/>
        <family val="0"/>
        <charset val="1"/>
      </rPr>
      <t xml:space="preserve">+12%</t>
    </r>
    <r>
      <rPr>
        <sz val="10"/>
        <color rgb="FF000000"/>
        <rFont val="WenQuanYi Zen Hei"/>
        <family val="2"/>
      </rPr>
      <t xml:space="preserve">）；優質龍頭（</t>
    </r>
    <r>
      <rPr>
        <sz val="10"/>
        <color rgb="FF000000"/>
        <rFont val="Arial"/>
        <family val="0"/>
        <charset val="1"/>
      </rPr>
      <t xml:space="preserve">LIN/V/BRK/PLD/JPM</t>
    </r>
    <r>
      <rPr>
        <sz val="10"/>
        <color rgb="FF000000"/>
        <rFont val="WenQuanYi Zen Hei"/>
        <family val="2"/>
      </rPr>
      <t xml:space="preserve">）都在「合理」區間——這是一個要為質量付合理價的市場。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年組合加權預期年化 ≈ </t>
    </r>
    <r>
      <rPr>
        <sz val="10"/>
        <color rgb="FF000000"/>
        <rFont val="Arial"/>
        <family val="0"/>
        <charset val="1"/>
      </rPr>
      <t xml:space="preserve">9–10%</t>
    </r>
    <r>
      <rPr>
        <sz val="10"/>
        <color rgb="FF000000"/>
        <rFont val="WenQuanYi Zen Hei"/>
        <family val="2"/>
      </rPr>
      <t xml:space="preserve">（下表公式連動），高於 </t>
    </r>
    <r>
      <rPr>
        <sz val="10"/>
        <color rgb="FF000000"/>
        <rFont val="Arial"/>
        <family val="0"/>
        <charset val="1"/>
      </rPr>
      <t xml:space="preserve">S&amp;P 500 </t>
    </r>
    <r>
      <rPr>
        <sz val="10"/>
        <color rgb="FF000000"/>
        <rFont val="WenQuanYi Zen Hei"/>
        <family val="2"/>
      </rPr>
      <t xml:space="preserve">盈利收益率 </t>
    </r>
    <r>
      <rPr>
        <sz val="10"/>
        <color rgb="FF000000"/>
        <rFont val="Arial"/>
        <family val="0"/>
        <charset val="1"/>
      </rPr>
      <t xml:space="preserve">5.2%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</si>
  <si>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1"/>
        <color rgb="FFFFFFFF"/>
        <rFont val="WenQuanYi Zen Hei"/>
        <family val="2"/>
      </rPr>
      <t xml:space="preserve">二、最終 </t>
    </r>
    <r>
      <rPr>
        <b val="true"/>
        <sz val="11"/>
        <color rgb="FFFFFFFF"/>
        <rFont val="Arial"/>
        <family val="0"/>
        <charset val="1"/>
      </rPr>
      <t xml:space="preserve">5 </t>
    </r>
    <r>
      <rPr>
        <b val="true"/>
        <sz val="11"/>
        <color rgb="FFFFFFFF"/>
        <rFont val="WenQuanYi Zen Hei"/>
        <family val="2"/>
      </rPr>
      <t xml:space="preserve">年期組合</t>
    </r>
  </si>
  <si>
    <t xml:space="preserve">#</t>
  </si>
  <si>
    <t xml:space="preserve">公司</t>
  </si>
  <si>
    <t xml:space="preserve">Ticker</t>
  </si>
  <si>
    <t xml:space="preserve">建議</t>
  </si>
  <si>
    <t xml:space="preserve">組合權重</t>
  </si>
  <si>
    <t xml:space="preserve">股價</t>
  </si>
  <si>
    <t xml:space="preserve">加權內在價值</t>
  </si>
  <si>
    <r>
      <rPr>
        <b val="true"/>
        <sz val="10"/>
        <color rgb="FFFFFFFF"/>
        <rFont val="Arial"/>
        <family val="0"/>
        <charset val="1"/>
      </rPr>
      <t xml:space="preserve">5Y </t>
    </r>
    <r>
      <rPr>
        <b val="true"/>
        <sz val="10"/>
        <color rgb="FFFFFFFF"/>
        <rFont val="WenQuanYi Zen Hei"/>
        <family val="2"/>
      </rPr>
      <t xml:space="preserve">預期年化</t>
    </r>
  </si>
  <si>
    <t xml:space="preserve">一句話理由</t>
  </si>
  <si>
    <t xml:space="preserve">Linde</t>
  </si>
  <si>
    <t xml:space="preserve">LIN</t>
  </si>
  <si>
    <r>
      <rPr>
        <sz val="10"/>
        <color rgb="FF000000"/>
        <rFont val="WenQuanYi Zen Hei"/>
        <family val="2"/>
      </rPr>
      <t xml:space="preserve">質量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估值兼得，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年最低 </t>
    </r>
    <r>
      <rPr>
        <sz val="10"/>
        <color rgb="FF000000"/>
        <rFont val="Arial"/>
        <family val="0"/>
        <charset val="1"/>
      </rPr>
      <t xml:space="preserve">9% </t>
    </r>
    <r>
      <rPr>
        <sz val="10"/>
        <color rgb="FF000000"/>
        <rFont val="WenQuanYi Zen Hei"/>
        <family val="2"/>
      </rPr>
      <t xml:space="preserve">區域</t>
    </r>
  </si>
  <si>
    <t xml:space="preserve">Berkshire Hathaway</t>
  </si>
  <si>
    <t xml:space="preserve">BRK.B</t>
  </si>
  <si>
    <r>
      <rPr>
        <sz val="10"/>
        <color rgb="FF000000"/>
        <rFont val="WenQuanYi Zen Hei"/>
        <family val="2"/>
      </rPr>
      <t xml:space="preserve">壓艙石：</t>
    </r>
    <r>
      <rPr>
        <sz val="10"/>
        <color rgb="FF000000"/>
        <rFont val="Arial"/>
        <family val="0"/>
        <charset val="1"/>
      </rPr>
      <t xml:space="preserve">$3,655 </t>
    </r>
    <r>
      <rPr>
        <sz val="10"/>
        <color rgb="FF000000"/>
        <rFont val="WenQuanYi Zen Hei"/>
        <family val="2"/>
      </rPr>
      <t xml:space="preserve">億現金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回購重啟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加息受惠</t>
    </r>
  </si>
  <si>
    <t xml:space="preserve">Visa</t>
  </si>
  <si>
    <t xml:space="preserve">V</t>
  </si>
  <si>
    <t xml:space="preserve">最寬護城河之一，價格合理</t>
  </si>
  <si>
    <t xml:space="preserve">Prologis</t>
  </si>
  <si>
    <t xml:space="preserve">PLD</t>
  </si>
  <si>
    <r>
      <rPr>
        <sz val="10"/>
        <color rgb="FF000000"/>
        <rFont val="WenQuanYi Zen Hei"/>
        <family val="2"/>
      </rPr>
      <t xml:space="preserve">低估房地產中質量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價格最平衡，股息 </t>
    </r>
    <r>
      <rPr>
        <sz val="10"/>
        <color rgb="FF000000"/>
        <rFont val="Arial"/>
        <family val="0"/>
        <charset val="1"/>
      </rPr>
      <t xml:space="preserve">3.3%</t>
    </r>
  </si>
  <si>
    <t xml:space="preserve">JPMorgan Chase</t>
  </si>
  <si>
    <t xml:space="preserve">JPM</t>
  </si>
  <si>
    <r>
      <rPr>
        <sz val="10"/>
        <color rgb="FF000000"/>
        <rFont val="WenQuanYi Zen Hei"/>
        <family val="2"/>
      </rPr>
      <t xml:space="preserve">最佳銀行，加息受惠；</t>
    </r>
    <r>
      <rPr>
        <sz val="10"/>
        <color rgb="FF000000"/>
        <rFont val="Arial"/>
        <family val="0"/>
        <charset val="1"/>
      </rPr>
      <t xml:space="preserve">&lt;$300 </t>
    </r>
    <r>
      <rPr>
        <sz val="10"/>
        <color rgb="FF000000"/>
        <rFont val="WenQuanYi Zen Hei"/>
        <family val="2"/>
      </rPr>
      <t xml:space="preserve">加碼</t>
    </r>
  </si>
  <si>
    <t xml:space="preserve">NextEra Energy</t>
  </si>
  <si>
    <t xml:space="preserve">NEE</t>
  </si>
  <si>
    <r>
      <rPr>
        <sz val="10"/>
        <color rgb="FF000000"/>
        <rFont val="WenQuanYi Zen Hei"/>
        <family val="2"/>
      </rPr>
      <t xml:space="preserve">逆向：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年估值低位，等待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Dominion </t>
    </r>
    <r>
      <rPr>
        <sz val="10"/>
        <color rgb="FF000000"/>
        <rFont val="WenQuanYi Zen Hei"/>
        <family val="2"/>
      </rPr>
      <t xml:space="preserve">審批</t>
    </r>
  </si>
  <si>
    <r>
      <rPr>
        <b val="true"/>
        <sz val="10"/>
        <color rgb="FF000000"/>
        <rFont val="WenQuanYi Zen Hei"/>
        <family val="2"/>
      </rPr>
      <t xml:space="preserve">組合合計 </t>
    </r>
    <r>
      <rPr>
        <b val="true"/>
        <sz val="10"/>
        <color rgb="FF000000"/>
        <rFont val="Arial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加權預期年化</t>
    </r>
  </si>
  <si>
    <t xml:space="preserve">三、刻意不選的龍頭與原因</t>
  </si>
  <si>
    <t xml:space="preserve">WELL / EQIX</t>
  </si>
  <si>
    <r>
      <rPr>
        <sz val="10"/>
        <color rgb="FF000000"/>
        <rFont val="WenQuanYi Zen Hei"/>
        <family val="2"/>
      </rPr>
      <t xml:space="preserve">好公司、壞價格：</t>
    </r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均處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年高位（僅比 </t>
    </r>
    <r>
      <rPr>
        <sz val="10"/>
        <color rgb="FF000000"/>
        <rFont val="Arial"/>
        <family val="0"/>
        <charset val="1"/>
      </rPr>
      <t xml:space="preserve">8–9% </t>
    </r>
    <r>
      <rPr>
        <sz val="10"/>
        <color rgb="FF000000"/>
        <rFont val="WenQuanYi Zen Hei"/>
        <family val="2"/>
      </rPr>
      <t xml:space="preserve">時間便宜），估值壓縮會吃掉增長。</t>
    </r>
  </si>
  <si>
    <t xml:space="preserve">NEM / FCX</t>
  </si>
  <si>
    <r>
      <rPr>
        <sz val="10"/>
        <color rgb="FF000000"/>
        <rFont val="WenQuanYi Zen Hei"/>
        <family val="2"/>
      </rPr>
      <t xml:space="preserve">價格接受者、盈利處金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銅價高位；低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是週期頂部訊號，不符合巴菲特準則。</t>
    </r>
  </si>
  <si>
    <t xml:space="preserve">CEG / SO</t>
  </si>
  <si>
    <r>
      <rPr>
        <sz val="10"/>
        <color rgb="FF000000"/>
        <rFont val="Arial"/>
        <family val="0"/>
        <charset val="1"/>
      </rPr>
      <t xml:space="preserve">CEG </t>
    </r>
    <r>
      <rPr>
        <sz val="10"/>
        <color rgb="FF000000"/>
        <rFont val="WenQuanYi Zen Hei"/>
        <family val="2"/>
      </rPr>
      <t xml:space="preserve">盈利可預測性不足；</t>
    </r>
    <r>
      <rPr>
        <sz val="10"/>
        <color rgb="FF000000"/>
        <rFont val="Arial"/>
        <family val="0"/>
        <charset val="1"/>
      </rPr>
      <t xml:space="preserve">SO </t>
    </r>
    <r>
      <rPr>
        <sz val="10"/>
        <color rgb="FF000000"/>
        <rFont val="WenQuanYi Zen Hei"/>
        <family val="2"/>
      </rPr>
      <t xml:space="preserve">高負債、共識多為 </t>
    </r>
    <r>
      <rPr>
        <sz val="10"/>
        <color rgb="FF000000"/>
        <rFont val="Arial"/>
        <family val="0"/>
        <charset val="1"/>
      </rPr>
      <t xml:space="preserve">Hold</t>
    </r>
    <r>
      <rPr>
        <sz val="10"/>
        <color rgb="FF000000"/>
        <rFont val="WenQuanYi Zen Hei"/>
        <family val="2"/>
      </rPr>
      <t xml:space="preserve">，作公用事業備選。</t>
    </r>
  </si>
  <si>
    <t xml:space="preserve">能源板塊</t>
  </si>
  <si>
    <r>
      <rPr>
        <sz val="10"/>
        <color rgb="FF000000"/>
        <rFont val="Arial"/>
        <family val="0"/>
        <charset val="1"/>
      </rPr>
      <t xml:space="preserve">Fwd P/E 13.5x </t>
    </r>
    <r>
      <rPr>
        <sz val="10"/>
        <color rgb="FF000000"/>
        <rFont val="WenQuanYi Zen Hei"/>
        <family val="2"/>
      </rPr>
      <t xml:space="preserve">看似最低，但高於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 </t>
    </r>
    <r>
      <rPr>
        <sz val="10"/>
        <color rgb="FF000000"/>
        <rFont val="Arial"/>
        <family val="0"/>
        <charset val="1"/>
      </rPr>
      <t xml:space="preserve">23%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CY27 EPS −9.3%</t>
    </r>
    <r>
      <rPr>
        <sz val="10"/>
        <color rgb="FF000000"/>
        <rFont val="WenQuanYi Zen Hei"/>
        <family val="2"/>
      </rPr>
      <t xml:space="preserve">，油價含地緣溢價。</t>
    </r>
  </si>
  <si>
    <r>
      <rPr>
        <b val="true"/>
        <sz val="11"/>
        <color rgb="FFFFFFFF"/>
        <rFont val="WenQuanYi Zen Hei"/>
        <family val="2"/>
      </rPr>
      <t xml:space="preserve">四、未來 </t>
    </r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WenQuanYi Zen Hei"/>
        <family val="2"/>
      </rPr>
      <t xml:space="preserve">個月關鍵催化劑</t>
    </r>
  </si>
  <si>
    <r>
      <rPr>
        <sz val="10"/>
        <color rgb="FF000000"/>
        <rFont val="Arial"/>
        <family val="0"/>
        <charset val="1"/>
      </rPr>
      <t xml:space="preserve">• 10/14 </t>
    </r>
    <r>
      <rPr>
        <sz val="10"/>
        <color rgb="FF000000"/>
        <rFont val="WenQuanYi Zen Hei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CPI</t>
    </r>
    <r>
      <rPr>
        <sz val="10"/>
        <color rgb="FF000000"/>
        <rFont val="WenQuanYi Zen Hei"/>
        <family val="2"/>
      </rPr>
      <t xml:space="preserve">（預期 </t>
    </r>
    <r>
      <rPr>
        <sz val="10"/>
        <color rgb="FF000000"/>
        <rFont val="Arial"/>
        <family val="0"/>
        <charset val="1"/>
      </rPr>
      <t xml:space="preserve">3.7%</t>
    </r>
    <r>
      <rPr>
        <sz val="10"/>
        <color rgb="FF000000"/>
        <rFont val="WenQuanYi Zen Hei"/>
        <family val="2"/>
      </rPr>
      <t xml:space="preserve">）→ 決定 </t>
    </r>
    <r>
      <rPr>
        <sz val="10"/>
        <color rgb="FF000000"/>
        <rFont val="Arial"/>
        <family val="0"/>
        <charset val="1"/>
      </rPr>
      <t xml:space="preserve">Fed </t>
    </r>
    <r>
      <rPr>
        <sz val="10"/>
        <color rgb="FF000000"/>
        <rFont val="WenQuanYi Zen Hei"/>
        <family val="2"/>
      </rPr>
      <t xml:space="preserve">是否再加息，直接影響 </t>
    </r>
    <r>
      <rPr>
        <sz val="10"/>
        <color rgb="FF000000"/>
        <rFont val="Arial"/>
        <family val="0"/>
        <charset val="1"/>
      </rPr>
      <t xml:space="preserve">NEE/SO/PLD/WELL</t>
    </r>
  </si>
  <si>
    <r>
      <rPr>
        <sz val="10"/>
        <color rgb="FF000000"/>
        <rFont val="Arial"/>
        <family val="0"/>
        <charset val="1"/>
      </rPr>
      <t xml:space="preserve">• 10 </t>
    </r>
    <r>
      <rPr>
        <sz val="10"/>
        <color rgb="FF000000"/>
        <rFont val="WenQuanYi Zen Hei"/>
        <family val="2"/>
      </rPr>
      <t xml:space="preserve">月中 </t>
    </r>
    <r>
      <rPr>
        <sz val="10"/>
        <color rgb="FF000000"/>
        <rFont val="Arial"/>
        <family val="0"/>
        <charset val="1"/>
      </rPr>
      <t xml:space="preserve">JPM Q3 </t>
    </r>
    <r>
      <rPr>
        <sz val="10"/>
        <color rgb="FF000000"/>
        <rFont val="WenQuanYi Zen Hei"/>
        <family val="2"/>
      </rPr>
      <t xml:space="preserve">業績（</t>
    </r>
    <r>
      <rPr>
        <sz val="10"/>
        <color rgb="FF000000"/>
        <rFont val="Arial"/>
        <family val="0"/>
        <charset val="1"/>
      </rPr>
      <t xml:space="preserve">NII </t>
    </r>
    <r>
      <rPr>
        <sz val="10"/>
        <color rgb="FF000000"/>
        <rFont val="WenQuanYi Zen Hei"/>
        <family val="2"/>
      </rPr>
      <t xml:space="preserve">指引）、</t>
    </r>
    <r>
      <rPr>
        <sz val="10"/>
        <color rgb="FF000000"/>
        <rFont val="Arial"/>
        <family val="0"/>
        <charset val="1"/>
      </rPr>
      <t xml:space="preserve">10/21 NEE Q3 </t>
    </r>
    <r>
      <rPr>
        <sz val="10"/>
        <color rgb="FF000000"/>
        <rFont val="WenQuanYi Zen Hei"/>
        <family val="2"/>
      </rPr>
      <t xml:space="preserve">業績（</t>
    </r>
    <r>
      <rPr>
        <sz val="10"/>
        <color rgb="FF000000"/>
        <rFont val="Arial"/>
        <family val="0"/>
        <charset val="1"/>
      </rPr>
      <t xml:space="preserve">Dominion </t>
    </r>
    <r>
      <rPr>
        <sz val="10"/>
        <color rgb="FF000000"/>
        <rFont val="WenQuanYi Zen Hei"/>
        <family val="2"/>
      </rPr>
      <t xml:space="preserve">進展）、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月底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WenQuanYi Zen Hei"/>
        <family val="2"/>
      </rPr>
      <t xml:space="preserve">財年業績</t>
    </r>
  </si>
  <si>
    <r>
      <rPr>
        <sz val="10"/>
        <color rgb="FF000000"/>
        <rFont val="Arial"/>
        <family val="0"/>
        <charset val="1"/>
      </rPr>
      <t xml:space="preserve">• 11–12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FOMC</t>
    </r>
    <r>
      <rPr>
        <sz val="10"/>
        <color rgb="FF000000"/>
        <rFont val="WenQuanYi Zen Hei"/>
        <family val="2"/>
      </rPr>
      <t xml:space="preserve">：點陣圖指向年底 </t>
    </r>
    <r>
      <rPr>
        <sz val="10"/>
        <color rgb="FF000000"/>
        <rFont val="Arial"/>
        <family val="0"/>
        <charset val="1"/>
      </rPr>
      <t xml:space="preserve">4.00–4.25%</t>
    </r>
    <r>
      <rPr>
        <sz val="10"/>
        <color rgb="FF000000"/>
        <rFont val="WenQuanYi Zen Hei"/>
        <family val="2"/>
      </rPr>
      <t xml:space="preserve">；油價與伊朗局勢</t>
    </r>
  </si>
  <si>
    <t xml:space="preserve">免責聲明：僅供研究參考，不構成投資建議。</t>
  </si>
  <si>
    <r>
      <rPr>
        <b val="true"/>
        <sz val="16"/>
        <color rgb="FF1F3864"/>
        <rFont val="WenQuanYi Zen Hei"/>
        <family val="2"/>
      </rPr>
      <t xml:space="preserve">板塊估值地圖 — </t>
    </r>
    <r>
      <rPr>
        <b val="true"/>
        <sz val="16"/>
        <color rgb="FF1F3864"/>
        <rFont val="Arial"/>
        <family val="0"/>
        <charset val="1"/>
      </rPr>
      <t xml:space="preserve">S&amp;P 500 11 </t>
    </r>
    <r>
      <rPr>
        <b val="true"/>
        <sz val="16"/>
        <color rgb="FF1F3864"/>
        <rFont val="WenQuanYi Zen Hei"/>
        <family val="2"/>
      </rPr>
      <t xml:space="preserve">大板塊</t>
    </r>
  </si>
  <si>
    <r>
      <rPr>
        <i val="true"/>
        <sz val="8"/>
        <color rgb="FF595959"/>
        <rFont val="WenQuanYi Zen Hei"/>
        <family val="2"/>
      </rPr>
      <t xml:space="preserve">來源：</t>
    </r>
    <r>
      <rPr>
        <i val="true"/>
        <sz val="8"/>
        <color rgb="FF595959"/>
        <rFont val="Arial"/>
        <family val="0"/>
        <charset val="1"/>
      </rPr>
      <t xml:space="preserve">FactSet Earnings Insight 2026-10-09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p.29/30/34/37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10Y </t>
    </r>
    <r>
      <rPr>
        <i val="true"/>
        <sz val="8"/>
        <color rgb="FF595959"/>
        <rFont val="WenQuanYi Zen Hei"/>
        <family val="2"/>
      </rPr>
      <t xml:space="preserve">殖利率連結 </t>
    </r>
    <r>
      <rPr>
        <i val="true"/>
        <sz val="8"/>
        <color rgb="FF595959"/>
        <rFont val="Arial"/>
        <family val="0"/>
        <charset val="1"/>
      </rPr>
      <t xml:space="preserve">Macro!C8</t>
    </r>
    <r>
      <rPr>
        <i val="true"/>
        <sz val="8"/>
        <color rgb="FF595959"/>
        <rFont val="WenQuanYi Zen Hei"/>
        <family val="2"/>
      </rPr>
      <t xml:space="preserve">。藍字為原始數據，黑字為公式。</t>
    </r>
  </si>
  <si>
    <t xml:space="preserve">板塊</t>
  </si>
  <si>
    <t xml:space="preserve">ETF</t>
  </si>
  <si>
    <t xml:space="preserve">Fwd P/E</t>
  </si>
  <si>
    <r>
      <rPr>
        <b val="true"/>
        <sz val="10"/>
        <color rgb="FFFFFFFF"/>
        <rFont val="Arial"/>
        <family val="0"/>
        <charset val="1"/>
      </rPr>
      <t xml:space="preserve">5Y </t>
    </r>
    <r>
      <rPr>
        <b val="true"/>
        <sz val="10"/>
        <color rgb="FFFFFFFF"/>
        <rFont val="WenQuanYi Zen Hei"/>
        <family val="2"/>
      </rPr>
      <t xml:space="preserve">均值</t>
    </r>
  </si>
  <si>
    <r>
      <rPr>
        <b val="true"/>
        <sz val="10"/>
        <color rgb="FFFFFFFF"/>
        <rFont val="Arial"/>
        <family val="0"/>
        <charset val="1"/>
      </rPr>
      <t xml:space="preserve">10Y </t>
    </r>
    <r>
      <rPr>
        <b val="true"/>
        <sz val="10"/>
        <color rgb="FFFFFFFF"/>
        <rFont val="WenQuanYi Zen Hei"/>
        <family val="2"/>
      </rPr>
      <t xml:space="preserve">均值</t>
    </r>
  </si>
  <si>
    <t xml:space="preserve">vs 10Y</t>
  </si>
  <si>
    <t xml:space="preserve">vs 5Y</t>
  </si>
  <si>
    <r>
      <rPr>
        <b val="true"/>
        <sz val="10"/>
        <color rgb="FFFFFFFF"/>
        <rFont val="Arial"/>
        <family val="0"/>
        <charset val="1"/>
      </rPr>
      <t xml:space="preserve">CY26 EPS </t>
    </r>
    <r>
      <rPr>
        <b val="true"/>
        <sz val="10"/>
        <color rgb="FFFFFFFF"/>
        <rFont val="WenQuanYi Zen Hei"/>
        <family val="2"/>
      </rPr>
      <t xml:space="preserve">增速</t>
    </r>
  </si>
  <si>
    <r>
      <rPr>
        <b val="true"/>
        <sz val="10"/>
        <color rgb="FFFFFFFF"/>
        <rFont val="Arial"/>
        <family val="0"/>
        <charset val="1"/>
      </rPr>
      <t xml:space="preserve">CY27 EPS </t>
    </r>
    <r>
      <rPr>
        <b val="true"/>
        <sz val="10"/>
        <color rgb="FFFFFFFF"/>
        <rFont val="WenQuanYi Zen Hei"/>
        <family val="2"/>
      </rPr>
      <t xml:space="preserve">增速</t>
    </r>
  </si>
  <si>
    <r>
      <rPr>
        <b val="true"/>
        <sz val="10"/>
        <color rgb="FFFFFFFF"/>
        <rFont val="Arial"/>
        <family val="0"/>
        <charset val="1"/>
      </rPr>
      <t xml:space="preserve">CY27 </t>
    </r>
    <r>
      <rPr>
        <b val="true"/>
        <sz val="10"/>
        <color rgb="FFFFFFFF"/>
        <rFont val="WenQuanYi Zen Hei"/>
        <family val="2"/>
      </rPr>
      <t xml:space="preserve">營收增速</t>
    </r>
  </si>
  <si>
    <t xml:space="preserve">PEG (CY27)</t>
  </si>
  <si>
    <t xml:space="preserve">盈利收益率</t>
  </si>
  <si>
    <t xml:space="preserve">EY − 10Y</t>
  </si>
  <si>
    <t xml:space="preserve">目標價上行</t>
  </si>
  <si>
    <r>
      <rPr>
        <b val="true"/>
        <sz val="10"/>
        <color rgb="FFFFFFFF"/>
        <rFont val="Arial"/>
        <family val="0"/>
        <charset val="1"/>
      </rPr>
      <t xml:space="preserve">Buy </t>
    </r>
    <r>
      <rPr>
        <b val="true"/>
        <sz val="10"/>
        <color rgb="FFFFFFFF"/>
        <rFont val="WenQuanYi Zen Hei"/>
        <family val="2"/>
      </rPr>
      <t xml:space="preserve">評級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</si>
  <si>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WenQuanYi Zen Hei"/>
        <family val="2"/>
      </rPr>
      <t xml:space="preserve">規則判定 </t>
    </r>
    <r>
      <rPr>
        <b val="true"/>
        <sz val="10"/>
        <color rgb="FFFFFFFF"/>
        <rFont val="Arial"/>
        <family val="0"/>
        <charset val="1"/>
      </rPr>
      <t xml:space="preserve">(vs10Y ±5%)</t>
    </r>
  </si>
  <si>
    <t xml:space="preserve">分析師修正判定</t>
  </si>
  <si>
    <r>
      <rPr>
        <b val="true"/>
        <sz val="10"/>
        <color rgb="FFFFFFFF"/>
        <rFont val="WenQuanYi Zen Hei"/>
        <family val="2"/>
      </rPr>
      <t xml:space="preserve">關鍵理由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估值走向</t>
    </r>
  </si>
  <si>
    <r>
      <rPr>
        <b val="true"/>
        <sz val="10"/>
        <color rgb="FFFFFFFF"/>
        <rFont val="WenQuanYi Zen Hei"/>
        <family val="2"/>
      </rPr>
      <t xml:space="preserve">深挖</t>
    </r>
    <r>
      <rPr>
        <b val="true"/>
        <sz val="10"/>
        <color rgb="FFFFFFFF"/>
        <rFont val="Arial"/>
        <family val="0"/>
        <charset val="1"/>
      </rPr>
      <t xml:space="preserve">?</t>
    </r>
  </si>
  <si>
    <r>
      <rPr>
        <sz val="10"/>
        <color rgb="FF000000"/>
        <rFont val="WenQuanYi Zen Hei"/>
        <family val="2"/>
      </rPr>
      <t xml:space="preserve">可選消費 </t>
    </r>
    <r>
      <rPr>
        <sz val="10"/>
        <color rgb="FF000000"/>
        <rFont val="Arial"/>
        <family val="0"/>
        <charset val="1"/>
      </rPr>
      <t xml:space="preserve">Cons. Disc.</t>
    </r>
  </si>
  <si>
    <t xml:space="preserve">XLY</t>
  </si>
  <si>
    <t xml:space="preserve">合理偏貴</t>
  </si>
  <si>
    <r>
      <rPr>
        <sz val="10"/>
        <color rgb="FF000000"/>
        <rFont val="WenQuanYi Zen Hei"/>
        <family val="2"/>
      </rPr>
      <t xml:space="preserve">歷史均值被 </t>
    </r>
    <r>
      <rPr>
        <sz val="10"/>
        <color rgb="FF000000"/>
        <rFont val="Arial"/>
        <family val="0"/>
        <charset val="1"/>
      </rPr>
      <t xml:space="preserve">AMZN/TSLA </t>
    </r>
    <r>
      <rPr>
        <sz val="10"/>
        <color rgb="FF000000"/>
        <rFont val="WenQuanYi Zen Hei"/>
        <family val="2"/>
      </rPr>
      <t xml:space="preserve">高倍數抬高；</t>
    </r>
    <r>
      <rPr>
        <sz val="10"/>
        <color rgb="FF000000"/>
        <rFont val="Arial"/>
        <family val="0"/>
        <charset val="1"/>
      </rPr>
      <t xml:space="preserve">CY27 EPS −2.5%</t>
    </r>
    <r>
      <rPr>
        <sz val="10"/>
        <color rgb="FF000000"/>
        <rFont val="WenQuanYi Zen Hei"/>
        <family val="2"/>
      </rPr>
      <t xml:space="preserve">，估值下修中→「低於均值」不等於便宜</t>
    </r>
  </si>
  <si>
    <t xml:space="preserve">否</t>
  </si>
  <si>
    <r>
      <rPr>
        <sz val="10"/>
        <color rgb="FF000000"/>
        <rFont val="WenQuanYi Zen Hei"/>
        <family val="2"/>
      </rPr>
      <t xml:space="preserve">工業 </t>
    </r>
    <r>
      <rPr>
        <sz val="10"/>
        <color rgb="FF000000"/>
        <rFont val="Arial"/>
        <family val="0"/>
        <charset val="1"/>
      </rPr>
      <t xml:space="preserve">Industrials</t>
    </r>
  </si>
  <si>
    <t xml:space="preserve">XLI</t>
  </si>
  <si>
    <t xml:space="preserve">高估</t>
  </si>
  <si>
    <r>
      <rPr>
        <sz val="10"/>
        <color rgb="FF000000"/>
        <rFont val="WenQuanYi Zen Hei"/>
        <family val="2"/>
      </rPr>
      <t xml:space="preserve">國防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電網設備</t>
    </r>
    <r>
      <rPr>
        <sz val="10"/>
        <color rgb="FF000000"/>
        <rFont val="Arial"/>
        <family val="0"/>
        <charset val="1"/>
      </rPr>
      <t xml:space="preserve">/AI </t>
    </r>
    <r>
      <rPr>
        <sz val="10"/>
        <color rgb="FF000000"/>
        <rFont val="WenQuanYi Zen Hei"/>
        <family val="2"/>
      </rPr>
      <t xml:space="preserve">資本開支題材溢價，較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 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WenQuanYi Zen Hei"/>
        <family val="2"/>
      </rPr>
      <t xml:space="preserve">；趨勢：溢價擴張</t>
    </r>
  </si>
  <si>
    <r>
      <rPr>
        <sz val="10"/>
        <color rgb="FF000000"/>
        <rFont val="WenQuanYi Zen Hei"/>
        <family val="2"/>
      </rPr>
      <t xml:space="preserve">必需消費 </t>
    </r>
    <r>
      <rPr>
        <sz val="10"/>
        <color rgb="FF000000"/>
        <rFont val="Arial"/>
        <family val="0"/>
        <charset val="1"/>
      </rPr>
      <t xml:space="preserve">Staples</t>
    </r>
  </si>
  <si>
    <t xml:space="preserve">XLP</t>
  </si>
  <si>
    <r>
      <rPr>
        <sz val="10"/>
        <color rgb="FF000000"/>
        <rFont val="Arial"/>
        <family val="0"/>
        <charset val="1"/>
      </rPr>
      <t xml:space="preserve">CY27 EPS </t>
    </r>
    <r>
      <rPr>
        <sz val="10"/>
        <color rgb="FF000000"/>
        <rFont val="WenQuanYi Zen Hei"/>
        <family val="2"/>
      </rPr>
      <t xml:space="preserve">僅 </t>
    </r>
    <r>
      <rPr>
        <sz val="10"/>
        <color rgb="FF000000"/>
        <rFont val="Arial"/>
        <family val="0"/>
        <charset val="1"/>
      </rPr>
      <t xml:space="preserve">+6.9% </t>
    </r>
    <r>
      <rPr>
        <sz val="10"/>
        <color rgb="FF000000"/>
        <rFont val="WenQuanYi Zen Hei"/>
        <family val="2"/>
      </rPr>
      <t xml:space="preserve">卻 </t>
    </r>
    <r>
      <rPr>
        <sz val="10"/>
        <color rgb="FF000000"/>
        <rFont val="Arial"/>
        <family val="0"/>
        <charset val="1"/>
      </rPr>
      <t xml:space="preserve">21.6x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PEG </t>
    </r>
    <r>
      <rPr>
        <sz val="10"/>
        <color rgb="FF000000"/>
        <rFont val="WenQuanYi Zen Hei"/>
        <family val="2"/>
      </rPr>
      <t xml:space="preserve">最差；盈利遭下修（</t>
    </r>
    <r>
      <rPr>
        <sz val="10"/>
        <color rgb="FF000000"/>
        <rFont val="Arial"/>
        <family val="0"/>
        <charset val="1"/>
      </rPr>
      <t xml:space="preserve">WMT/TSN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</si>
  <si>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資訊科技 </t>
    </r>
    <r>
      <rPr>
        <sz val="10"/>
        <color rgb="FF000000"/>
        <rFont val="Arial"/>
        <family val="0"/>
        <charset val="1"/>
      </rPr>
      <t xml:space="preserve">Info. Tech.</t>
    </r>
  </si>
  <si>
    <t xml:space="preserve">XLK</t>
  </si>
  <si>
    <t xml:space="preserve">合理（週期頂部風險）</t>
  </si>
  <si>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源於半導體盈利 </t>
    </r>
    <r>
      <rPr>
        <sz val="10"/>
        <color rgb="FF000000"/>
        <rFont val="Arial"/>
        <family val="0"/>
        <charset val="1"/>
      </rPr>
      <t xml:space="preserve">+130%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PEG </t>
    </r>
    <r>
      <rPr>
        <sz val="10"/>
        <color rgb="FF000000"/>
        <rFont val="WenQuanYi Zen Hei"/>
        <family val="2"/>
      </rPr>
      <t xml:space="preserve">僅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，但若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資本開支放緩 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WenQuanYi Zen Hei"/>
        <family val="2"/>
      </rPr>
      <t xml:space="preserve">下修風險大</t>
    </r>
  </si>
  <si>
    <t xml:space="preserve">S&amp;P 500</t>
  </si>
  <si>
    <t xml:space="preserve">SPY</t>
  </si>
  <si>
    <t xml:space="preserve">合理</t>
  </si>
  <si>
    <r>
      <rPr>
        <sz val="10"/>
        <color rgb="FF000000"/>
        <rFont val="Arial"/>
        <family val="0"/>
        <charset val="1"/>
      </rPr>
      <t xml:space="preserve">Fwd 19.1x = 10Y </t>
    </r>
    <r>
      <rPr>
        <sz val="10"/>
        <color rgb="FF000000"/>
        <rFont val="WenQuanYi Zen Hei"/>
        <family val="2"/>
      </rPr>
      <t xml:space="preserve">均值；</t>
    </r>
    <r>
      <rPr>
        <sz val="10"/>
        <color rgb="FF000000"/>
        <rFont val="Arial"/>
        <family val="0"/>
        <charset val="1"/>
      </rPr>
      <t xml:space="preserve">Trailing 26.0x </t>
    </r>
    <r>
      <rPr>
        <sz val="10"/>
        <color rgb="FF000000"/>
        <rFont val="WenQuanYi Zen Hei"/>
        <family val="2"/>
      </rPr>
      <t xml:space="preserve">偏高；盈利動能強（</t>
    </r>
    <r>
      <rPr>
        <sz val="10"/>
        <color rgb="FF000000"/>
        <rFont val="Arial"/>
        <family val="0"/>
        <charset val="1"/>
      </rPr>
      <t xml:space="preserve">Q3 +29.6%</t>
    </r>
    <r>
      <rPr>
        <sz val="10"/>
        <color rgb="FF000000"/>
        <rFont val="WenQuanYi Zen Hei"/>
        <family val="2"/>
      </rPr>
      <t xml:space="preserve">）</t>
    </r>
  </si>
  <si>
    <t xml:space="preserve">—</t>
  </si>
  <si>
    <r>
      <rPr>
        <sz val="10"/>
        <color rgb="FF000000"/>
        <rFont val="WenQuanYi Zen Hei"/>
        <family val="2"/>
      </rPr>
      <t xml:space="preserve">通訊服務 </t>
    </r>
    <r>
      <rPr>
        <sz val="10"/>
        <color rgb="FF000000"/>
        <rFont val="Arial"/>
        <family val="0"/>
        <charset val="1"/>
      </rPr>
      <t xml:space="preserve">Comm. Svcs</t>
    </r>
  </si>
  <si>
    <t xml:space="preserve">XLC</t>
  </si>
  <si>
    <r>
      <rPr>
        <sz val="10"/>
        <color rgb="FF000000"/>
        <rFont val="Arial"/>
        <family val="0"/>
        <charset val="1"/>
      </rPr>
      <t xml:space="preserve">CY27 EPS −11.2%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高基數），表面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低估盈利回落</t>
    </r>
  </si>
  <si>
    <r>
      <rPr>
        <sz val="10"/>
        <color rgb="FF000000"/>
        <rFont val="WenQuanYi Zen Hei"/>
        <family val="2"/>
      </rPr>
      <t xml:space="preserve">醫療保健 </t>
    </r>
    <r>
      <rPr>
        <sz val="10"/>
        <color rgb="FF000000"/>
        <rFont val="Arial"/>
        <family val="0"/>
        <charset val="1"/>
      </rPr>
      <t xml:space="preserve">Health Care</t>
    </r>
  </si>
  <si>
    <t xml:space="preserve">XLV</t>
  </si>
  <si>
    <t xml:space="preserve">結構分化</t>
  </si>
  <si>
    <r>
      <rPr>
        <sz val="10"/>
        <color rgb="FF000000"/>
        <rFont val="Arial"/>
        <family val="0"/>
        <charset val="1"/>
      </rPr>
      <t xml:space="preserve">LLY(41x) </t>
    </r>
    <r>
      <rPr>
        <sz val="10"/>
        <color rgb="FF000000"/>
        <rFont val="WenQuanYi Zen Hei"/>
        <family val="2"/>
      </rPr>
      <t xml:space="preserve">拉高板塊；</t>
    </r>
    <r>
      <rPr>
        <sz val="10"/>
        <color rgb="FF000000"/>
        <rFont val="Arial"/>
        <family val="0"/>
        <charset val="1"/>
      </rPr>
      <t xml:space="preserve">UNH/MRK/PFE </t>
    </r>
    <r>
      <rPr>
        <sz val="10"/>
        <color rgb="FF000000"/>
        <rFont val="WenQuanYi Zen Hei"/>
        <family val="2"/>
      </rPr>
      <t xml:space="preserve">等權看偏便宜；</t>
    </r>
    <r>
      <rPr>
        <sz val="10"/>
        <color rgb="FF000000"/>
        <rFont val="Arial"/>
        <family val="0"/>
        <charset val="1"/>
      </rPr>
      <t xml:space="preserve">CY27 EPS </t>
    </r>
    <r>
      <rPr>
        <sz val="10"/>
        <color rgb="FF000000"/>
        <rFont val="WenQuanYi Zen Hei"/>
        <family val="2"/>
      </rPr>
      <t xml:space="preserve">反彈 </t>
    </r>
    <r>
      <rPr>
        <sz val="10"/>
        <color rgb="FF000000"/>
        <rFont val="Arial"/>
        <family val="0"/>
        <charset val="1"/>
      </rPr>
      <t xml:space="preserve">+22.5%</t>
    </r>
  </si>
  <si>
    <t xml:space="preserve">觀察</t>
  </si>
  <si>
    <r>
      <rPr>
        <sz val="10"/>
        <color rgb="FF000000"/>
        <rFont val="WenQuanYi Zen Hei"/>
        <family val="2"/>
      </rPr>
      <t xml:space="preserve">房地產 </t>
    </r>
    <r>
      <rPr>
        <sz val="10"/>
        <color rgb="FF000000"/>
        <rFont val="Arial"/>
        <family val="0"/>
        <charset val="1"/>
      </rPr>
      <t xml:space="preserve">Real Estate</t>
    </r>
  </si>
  <si>
    <t xml:space="preserve">XLRE</t>
  </si>
  <si>
    <r>
      <rPr>
        <b val="true"/>
        <sz val="10"/>
        <color rgb="FF000000"/>
        <rFont val="WenQuanYi Zen Hei"/>
        <family val="2"/>
      </rPr>
      <t xml:space="preserve">低估（需用 </t>
    </r>
    <r>
      <rPr>
        <b val="true"/>
        <sz val="10"/>
        <color rgb="FF000000"/>
        <rFont val="Arial"/>
        <family val="0"/>
        <charset val="1"/>
      </rPr>
      <t xml:space="preserve">P/FFO </t>
    </r>
    <r>
      <rPr>
        <b val="true"/>
        <sz val="10"/>
        <color rgb="FF000000"/>
        <rFont val="WenQuanYi Zen Hei"/>
        <family val="2"/>
      </rPr>
      <t xml:space="preserve">驗證）</t>
    </r>
  </si>
  <si>
    <r>
      <rPr>
        <sz val="10"/>
        <color rgb="FF000000"/>
        <rFont val="WenQuanYi Zen Hei"/>
        <family val="2"/>
      </rPr>
      <t xml:space="preserve">加息壓制（</t>
    </r>
    <r>
      <rPr>
        <sz val="10"/>
        <color rgb="FF000000"/>
        <rFont val="Arial"/>
        <family val="0"/>
        <charset val="1"/>
      </rPr>
      <t xml:space="preserve">Fed 9 </t>
    </r>
    <r>
      <rPr>
        <sz val="10"/>
        <color rgb="FF000000"/>
        <rFont val="WenQuanYi Zen Hei"/>
        <family val="2"/>
      </rPr>
      <t xml:space="preserve">月加至 </t>
    </r>
    <r>
      <rPr>
        <sz val="10"/>
        <color rgb="FF000000"/>
        <rFont val="Arial"/>
        <family val="0"/>
        <charset val="1"/>
      </rPr>
      <t xml:space="preserve">3.75–4.00%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REIT </t>
    </r>
    <r>
      <rPr>
        <sz val="10"/>
        <color rgb="FF000000"/>
        <rFont val="WenQuanYi Zen Hei"/>
        <family val="2"/>
      </rPr>
      <t xml:space="preserve">失真，</t>
    </r>
    <r>
      <rPr>
        <sz val="10"/>
        <color rgb="FF000000"/>
        <rFont val="Arial"/>
        <family val="0"/>
        <charset val="1"/>
      </rPr>
      <t xml:space="preserve">PLD </t>
    </r>
    <r>
      <rPr>
        <sz val="10"/>
        <color rgb="FF000000"/>
        <rFont val="WenQuanYi Zen Hei"/>
        <family val="2"/>
      </rPr>
      <t xml:space="preserve">合理、</t>
    </r>
    <r>
      <rPr>
        <sz val="10"/>
        <color rgb="FF000000"/>
        <rFont val="Arial"/>
        <family val="0"/>
        <charset val="1"/>
      </rPr>
      <t xml:space="preserve">WELL </t>
    </r>
    <r>
      <rPr>
        <sz val="10"/>
        <color rgb="FF000000"/>
        <rFont val="WenQuanYi Zen Hei"/>
        <family val="2"/>
      </rPr>
      <t xml:space="preserve">偏貴</t>
    </r>
  </si>
  <si>
    <t xml:space="preserve">是</t>
  </si>
  <si>
    <r>
      <rPr>
        <sz val="10"/>
        <color rgb="FF000000"/>
        <rFont val="WenQuanYi Zen Hei"/>
        <family val="2"/>
      </rPr>
      <t xml:space="preserve">原材料 </t>
    </r>
    <r>
      <rPr>
        <sz val="10"/>
        <color rgb="FF000000"/>
        <rFont val="Arial"/>
        <family val="0"/>
        <charset val="1"/>
      </rPr>
      <t xml:space="preserve">Materials</t>
    </r>
  </si>
  <si>
    <t xml:space="preserve">XLB</t>
  </si>
  <si>
    <t xml:space="preserve">低估（週期）</t>
  </si>
  <si>
    <r>
      <rPr>
        <sz val="10"/>
        <color rgb="FF000000"/>
        <rFont val="WenQuanYi Zen Hei"/>
        <family val="2"/>
      </rPr>
      <t xml:space="preserve">金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銅價高位推升盈利；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盈利預期 −</t>
    </r>
    <r>
      <rPr>
        <sz val="10"/>
        <color rgb="FF000000"/>
        <rFont val="Arial"/>
        <family val="0"/>
        <charset val="1"/>
      </rPr>
      <t xml:space="preserve">9.6% </t>
    </r>
    <r>
      <rPr>
        <sz val="10"/>
        <color rgb="FF000000"/>
        <rFont val="WenQuanYi Zen Hei"/>
        <family val="2"/>
      </rPr>
      <t xml:space="preserve">下修；龍頭 </t>
    </r>
    <r>
      <rPr>
        <sz val="10"/>
        <color rgb="FF000000"/>
        <rFont val="Arial"/>
        <family val="0"/>
        <charset val="1"/>
      </rPr>
      <t xml:space="preserve">LIN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年估值低位</t>
    </r>
  </si>
  <si>
    <r>
      <rPr>
        <sz val="10"/>
        <color rgb="FF000000"/>
        <rFont val="WenQuanYi Zen Hei"/>
        <family val="2"/>
      </rPr>
      <t xml:space="preserve">公用事業 </t>
    </r>
    <r>
      <rPr>
        <sz val="10"/>
        <color rgb="FF000000"/>
        <rFont val="Arial"/>
        <family val="0"/>
        <charset val="1"/>
      </rPr>
      <t xml:space="preserve">Utilities</t>
    </r>
  </si>
  <si>
    <t xml:space="preserve">XLU</t>
  </si>
  <si>
    <t xml:space="preserve">低估</t>
  </si>
  <si>
    <r>
      <rPr>
        <sz val="10"/>
        <color rgb="FF000000"/>
        <rFont val="WenQuanYi Zen Hei"/>
        <family val="2"/>
      </rPr>
      <t xml:space="preserve">利率上行令股息吸引力下降（</t>
    </r>
    <r>
      <rPr>
        <sz val="10"/>
        <color rgb="FF000000"/>
        <rFont val="Arial"/>
        <family val="0"/>
        <charset val="1"/>
      </rPr>
      <t xml:space="preserve">NEE </t>
    </r>
    <r>
      <rPr>
        <sz val="10"/>
        <color rgb="FF000000"/>
        <rFont val="WenQuanYi Zen Hei"/>
        <family val="2"/>
      </rPr>
      <t xml:space="preserve">半年 −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數據中心用電需求是長期支撐</t>
    </r>
  </si>
  <si>
    <r>
      <rPr>
        <sz val="10"/>
        <color rgb="FF000000"/>
        <rFont val="WenQuanYi Zen Hei"/>
        <family val="2"/>
      </rPr>
      <t xml:space="preserve">金融 </t>
    </r>
    <r>
      <rPr>
        <sz val="10"/>
        <color rgb="FF000000"/>
        <rFont val="Arial"/>
        <family val="0"/>
        <charset val="1"/>
      </rPr>
      <t xml:space="preserve">Financials</t>
    </r>
  </si>
  <si>
    <t xml:space="preserve">XLF</t>
  </si>
  <si>
    <t xml:space="preserve">合理（絕對值低）</t>
  </si>
  <si>
    <r>
      <rPr>
        <sz val="10"/>
        <color rgb="FF000000"/>
        <rFont val="WenQuanYi Zen Hei"/>
        <family val="2"/>
      </rPr>
      <t xml:space="preserve">絕對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第二低；銀行應看 </t>
    </r>
    <r>
      <rPr>
        <sz val="10"/>
        <color rgb="FF000000"/>
        <rFont val="Arial"/>
        <family val="0"/>
        <charset val="1"/>
      </rPr>
      <t xml:space="preserve">P/B-ROE</t>
    </r>
    <r>
      <rPr>
        <sz val="10"/>
        <color rgb="FF000000"/>
        <rFont val="WenQuanYi Zen Hei"/>
        <family val="2"/>
      </rPr>
      <t xml:space="preserve">；加息利好 </t>
    </r>
    <r>
      <rPr>
        <sz val="10"/>
        <color rgb="FF000000"/>
        <rFont val="Arial"/>
        <family val="0"/>
        <charset val="1"/>
      </rPr>
      <t xml:space="preserve">NII</t>
    </r>
    <r>
      <rPr>
        <sz val="10"/>
        <color rgb="FF000000"/>
        <rFont val="WenQuanYi Zen Hei"/>
        <family val="2"/>
      </rPr>
      <t xml:space="preserve">，信貸週期是風險</t>
    </r>
  </si>
  <si>
    <r>
      <rPr>
        <sz val="10"/>
        <color rgb="FF000000"/>
        <rFont val="WenQuanYi Zen Hei"/>
        <family val="2"/>
      </rPr>
      <t xml:space="preserve">能源 </t>
    </r>
    <r>
      <rPr>
        <sz val="10"/>
        <color rgb="FF000000"/>
        <rFont val="Arial"/>
        <family val="0"/>
        <charset val="1"/>
      </rPr>
      <t xml:space="preserve">Energy</t>
    </r>
  </si>
  <si>
    <t xml:space="preserve">XLE</t>
  </si>
  <si>
    <t xml:space="preserve">高估（盈利頂部）</t>
  </si>
  <si>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是週期陷阱：油價 </t>
    </r>
    <r>
      <rPr>
        <sz val="10"/>
        <color rgb="FF000000"/>
        <rFont val="Arial"/>
        <family val="0"/>
        <charset val="1"/>
      </rPr>
      <t xml:space="preserve">$90</t>
    </r>
    <r>
      <rPr>
        <sz val="10"/>
        <color rgb="FF000000"/>
        <rFont val="WenQuanYi Zen Hei"/>
        <family val="2"/>
      </rPr>
      <t xml:space="preserve">（伊朗衝突溢價）推高盈利，</t>
    </r>
    <r>
      <rPr>
        <sz val="10"/>
        <color rgb="FF000000"/>
        <rFont val="Arial"/>
        <family val="0"/>
        <charset val="1"/>
      </rPr>
      <t xml:space="preserve">CY27 EPS −9.3%</t>
    </r>
    <r>
      <rPr>
        <sz val="10"/>
        <color rgb="FF000000"/>
        <rFont val="WenQuanYi Zen Hei"/>
        <family val="2"/>
      </rPr>
      <t xml:space="preserve">，較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 </t>
    </r>
    <r>
      <rPr>
        <sz val="10"/>
        <color rgb="FF000000"/>
        <rFont val="Arial"/>
        <family val="0"/>
        <charset val="1"/>
      </rPr>
      <t xml:space="preserve">+23%</t>
    </r>
  </si>
  <si>
    <r>
      <rPr>
        <b val="true"/>
        <sz val="11"/>
        <color rgb="FFFFFFFF"/>
        <rFont val="WenQuanYi Zen Hei"/>
        <family val="2"/>
      </rPr>
      <t xml:space="preserve">板塊排序（按 </t>
    </r>
    <r>
      <rPr>
        <b val="true"/>
        <sz val="11"/>
        <color rgb="FFFFFFFF"/>
        <rFont val="Arial"/>
        <family val="0"/>
        <charset val="1"/>
      </rPr>
      <t xml:space="preserve">vs 10Y </t>
    </r>
    <r>
      <rPr>
        <b val="true"/>
        <sz val="11"/>
        <color rgb="FFFFFFFF"/>
        <rFont val="WenQuanYi Zen Hei"/>
        <family val="2"/>
      </rPr>
      <t xml:space="preserve">折讓，公式自動）</t>
    </r>
  </si>
  <si>
    <t xml:space="preserve">排名</t>
  </si>
  <si>
    <t xml:space="preserve">PEG</t>
  </si>
  <si>
    <t xml:space="preserve">選擇深挖板塊的邏輯</t>
  </si>
  <si>
    <r>
      <rPr>
        <sz val="10"/>
        <color rgb="FF000000"/>
        <rFont val="Arial"/>
        <family val="0"/>
        <charset val="1"/>
      </rPr>
      <t xml:space="preserve">1) </t>
    </r>
    <r>
      <rPr>
        <sz val="10"/>
        <color rgb="FF000000"/>
        <rFont val="WenQuanYi Zen Hei"/>
        <family val="2"/>
      </rPr>
      <t xml:space="preserve">以「</t>
    </r>
    <r>
      <rPr>
        <sz val="10"/>
        <color rgb="FF000000"/>
        <rFont val="Arial"/>
        <family val="0"/>
        <charset val="1"/>
      </rPr>
      <t xml:space="preserve">Fwd P/E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均值」作首輪篩選：公用事業</t>
    </r>
    <r>
      <rPr>
        <sz val="10"/>
        <color rgb="FF000000"/>
        <rFont val="Arial"/>
        <family val="0"/>
        <charset val="1"/>
      </rPr>
      <t xml:space="preserve">(−10.6%)</t>
    </r>
    <r>
      <rPr>
        <sz val="10"/>
        <color rgb="FF000000"/>
        <rFont val="WenQuanYi Zen Hei"/>
        <family val="2"/>
      </rPr>
      <t xml:space="preserve">、房地產</t>
    </r>
    <r>
      <rPr>
        <sz val="10"/>
        <color rgb="FF000000"/>
        <rFont val="Arial"/>
        <family val="0"/>
        <charset val="1"/>
      </rPr>
      <t xml:space="preserve">(−10.2%)</t>
    </r>
    <r>
      <rPr>
        <sz val="10"/>
        <color rgb="FF000000"/>
        <rFont val="WenQuanYi Zen Hei"/>
        <family val="2"/>
      </rPr>
      <t xml:space="preserve">、可選消費</t>
    </r>
    <r>
      <rPr>
        <sz val="10"/>
        <color rgb="FF000000"/>
        <rFont val="Arial"/>
        <family val="0"/>
        <charset val="1"/>
      </rPr>
      <t xml:space="preserve">(−9.0%)</t>
    </r>
    <r>
      <rPr>
        <sz val="10"/>
        <color rgb="FF000000"/>
        <rFont val="WenQuanYi Zen Hei"/>
        <family val="2"/>
      </rPr>
      <t xml:space="preserve">、資訊科技</t>
    </r>
    <r>
      <rPr>
        <sz val="10"/>
        <color rgb="FF000000"/>
        <rFont val="Arial"/>
        <family val="0"/>
        <charset val="1"/>
      </rPr>
      <t xml:space="preserve">(−7.8%)</t>
    </r>
    <r>
      <rPr>
        <sz val="10"/>
        <color rgb="FF000000"/>
        <rFont val="WenQuanYi Zen Hei"/>
        <family val="2"/>
      </rPr>
      <t xml:space="preserve">、原材料</t>
    </r>
    <r>
      <rPr>
        <sz val="10"/>
        <color rgb="FF000000"/>
        <rFont val="Arial"/>
        <family val="0"/>
        <charset val="1"/>
      </rPr>
      <t xml:space="preserve">(−6.7%) </t>
    </r>
    <r>
      <rPr>
        <sz val="10"/>
        <color rgb="FF000000"/>
        <rFont val="WenQuanYi Zen Hei"/>
        <family val="2"/>
      </rPr>
      <t xml:space="preserve">為表面低估。</t>
    </r>
  </si>
  <si>
    <r>
      <rPr>
        <sz val="10"/>
        <color rgb="FF000000"/>
        <rFont val="Arial"/>
        <family val="0"/>
        <charset val="1"/>
      </rPr>
      <t xml:space="preserve">2) </t>
    </r>
    <r>
      <rPr>
        <sz val="10"/>
        <color rgb="FF000000"/>
        <rFont val="WenQuanYi Zen Hei"/>
        <family val="2"/>
      </rPr>
      <t xml:space="preserve">剔除「假便宜」：可選消費與資訊科技的折讓來自盈利暴增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集中度，不是價格便宜（盈利頂部風險）；能源絕對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最低卻高於歷史 </t>
    </r>
    <r>
      <rPr>
        <sz val="10"/>
        <color rgb="FF000000"/>
        <rFont val="Arial"/>
        <family val="0"/>
        <charset val="1"/>
      </rPr>
      <t xml:space="preserve">23%</t>
    </r>
    <r>
      <rPr>
        <sz val="10"/>
        <color rgb="FF000000"/>
        <rFont val="WenQuanYi Zen Hei"/>
        <family val="2"/>
      </rPr>
      <t xml:space="preserve">，是典型週期陷阱。</t>
    </r>
  </si>
  <si>
    <r>
      <rPr>
        <sz val="10"/>
        <color rgb="FF000000"/>
        <rFont val="Arial"/>
        <family val="0"/>
        <charset val="1"/>
      </rPr>
      <t xml:space="preserve">3) </t>
    </r>
    <r>
      <rPr>
        <sz val="10"/>
        <color rgb="FF000000"/>
        <rFont val="WenQuanYi Zen Hei"/>
        <family val="2"/>
      </rPr>
      <t xml:space="preserve">加入金融：絕對 </t>
    </r>
    <r>
      <rPr>
        <sz val="10"/>
        <color rgb="FF000000"/>
        <rFont val="Arial"/>
        <family val="0"/>
        <charset val="1"/>
      </rPr>
      <t xml:space="preserve">P/E 14.3x </t>
    </r>
    <r>
      <rPr>
        <sz val="10"/>
        <color rgb="FF000000"/>
        <rFont val="WenQuanYi Zen Hei"/>
        <family val="2"/>
      </rPr>
      <t xml:space="preserve">為第二低、略高於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均值（</t>
    </r>
    <r>
      <rPr>
        <sz val="10"/>
        <color rgb="FF000000"/>
        <rFont val="Arial"/>
        <family val="0"/>
        <charset val="1"/>
      </rPr>
      <t xml:space="preserve">+2.9%</t>
    </r>
    <r>
      <rPr>
        <sz val="10"/>
        <color rgb="FF000000"/>
        <rFont val="WenQuanYi Zen Hei"/>
        <family val="2"/>
      </rPr>
      <t xml:space="preserve">），但 </t>
    </r>
    <r>
      <rPr>
        <sz val="10"/>
        <color rgb="FF000000"/>
        <rFont val="Arial"/>
        <family val="0"/>
        <charset val="1"/>
      </rPr>
      <t xml:space="preserve">P/B-ROE </t>
    </r>
    <r>
      <rPr>
        <sz val="10"/>
        <color rgb="FF000000"/>
        <rFont val="WenQuanYi Zen Hei"/>
        <family val="2"/>
      </rPr>
      <t xml:space="preserve">框架下龍頭仍合理，且加息環境利好淨息差，屬「低估值板塊」。</t>
    </r>
  </si>
  <si>
    <r>
      <rPr>
        <sz val="10"/>
        <color rgb="FF000000"/>
        <rFont val="Arial"/>
        <family val="0"/>
        <charset val="1"/>
      </rPr>
      <t xml:space="preserve">4) </t>
    </r>
    <r>
      <rPr>
        <sz val="10"/>
        <color rgb="FF000000"/>
        <rFont val="WenQuanYi Zen Hei"/>
        <family val="2"/>
      </rPr>
      <t xml:space="preserve">最終深挖：金融、公用事業、房地產、原材料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板塊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市值前 </t>
    </r>
    <r>
      <rPr>
        <sz val="10"/>
        <color rgb="FF000000"/>
        <rFont val="Arial"/>
        <family val="0"/>
        <charset val="1"/>
      </rPr>
      <t xml:space="preserve">3 = 12 </t>
    </r>
    <r>
      <rPr>
        <sz val="10"/>
        <color rgb="FF000000"/>
        <rFont val="WenQuanYi Zen Hei"/>
        <family val="2"/>
      </rPr>
      <t xml:space="preserve">家龍頭（市值取自 </t>
    </r>
    <r>
      <rPr>
        <sz val="10"/>
        <color rgb="FF000000"/>
        <rFont val="Arial"/>
        <family val="0"/>
        <charset val="1"/>
      </rPr>
      <t xml:space="preserve">LongBridge 2026-10-09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</si>
  <si>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6"/>
        <color rgb="FF1F3864"/>
        <rFont val="WenQuanYi Zen Hei"/>
        <family val="2"/>
      </rPr>
      <t xml:space="preserve">估值方法論 </t>
    </r>
    <r>
      <rPr>
        <b val="true"/>
        <sz val="16"/>
        <color rgb="FF1F3864"/>
        <rFont val="Arial"/>
        <family val="0"/>
        <charset val="1"/>
      </rPr>
      <t xml:space="preserve">&amp; </t>
    </r>
    <r>
      <rPr>
        <b val="true"/>
        <sz val="16"/>
        <color rgb="FF1F3864"/>
        <rFont val="WenQuanYi Zen Hei"/>
        <family val="2"/>
      </rPr>
      <t xml:space="preserve">板塊估值算法合理性評估</t>
    </r>
  </si>
  <si>
    <r>
      <rPr>
        <i val="true"/>
        <sz val="8"/>
        <color rgb="FF595959"/>
        <rFont val="WenQuanYi Zen Hei"/>
        <family val="2"/>
      </rPr>
      <t xml:space="preserve">各板塊應使用的估值錨，以及「單看 </t>
    </r>
    <r>
      <rPr>
        <i val="true"/>
        <sz val="8"/>
        <color rgb="FF595959"/>
        <rFont val="Arial"/>
        <family val="0"/>
        <charset val="1"/>
      </rPr>
      <t xml:space="preserve">P/E</t>
    </r>
    <r>
      <rPr>
        <i val="true"/>
        <sz val="8"/>
        <color rgb="FF595959"/>
        <rFont val="WenQuanYi Zen Hei"/>
        <family val="2"/>
      </rPr>
      <t xml:space="preserve">」在何處失真。</t>
    </r>
    <r>
      <rPr>
        <i val="true"/>
        <sz val="8"/>
        <color rgb="FF595959"/>
        <rFont val="Arial"/>
        <family val="0"/>
        <charset val="1"/>
      </rPr>
      <t xml:space="preserve">P/E </t>
    </r>
    <r>
      <rPr>
        <i val="true"/>
        <sz val="8"/>
        <color rgb="FF595959"/>
        <rFont val="WenQuanYi Zen Hei"/>
        <family val="2"/>
      </rPr>
      <t xml:space="preserve">適用度：</t>
    </r>
    <r>
      <rPr>
        <i val="true"/>
        <sz val="8"/>
        <color rgb="FF595959"/>
        <rFont val="Arial"/>
        <family val="0"/>
        <charset val="1"/>
      </rPr>
      <t xml:space="preserve">5=</t>
    </r>
    <r>
      <rPr>
        <i val="true"/>
        <sz val="8"/>
        <color rgb="FF595959"/>
        <rFont val="WenQuanYi Zen Hei"/>
        <family val="2"/>
      </rPr>
      <t xml:space="preserve">很適用，</t>
    </r>
    <r>
      <rPr>
        <i val="true"/>
        <sz val="8"/>
        <color rgb="FF595959"/>
        <rFont val="Arial"/>
        <family val="0"/>
        <charset val="1"/>
      </rPr>
      <t xml:space="preserve">1=</t>
    </r>
    <r>
      <rPr>
        <i val="true"/>
        <sz val="8"/>
        <color rgb="FF595959"/>
        <rFont val="WenQuanYi Zen Hei"/>
        <family val="2"/>
      </rPr>
      <t xml:space="preserve">基本不適用（分析師判斷）。</t>
    </r>
  </si>
  <si>
    <r>
      <rPr>
        <b val="true"/>
        <sz val="10"/>
        <color rgb="FFFFFFFF"/>
        <rFont val="WenQuanYi Zen Hei"/>
        <family val="2"/>
      </rPr>
      <t xml:space="preserve">板塊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子行業</t>
    </r>
  </si>
  <si>
    <t xml:space="preserve">主估值錨</t>
  </si>
  <si>
    <t xml:space="preserve">輔助方法</t>
  </si>
  <si>
    <t xml:space="preserve">為什麼（經濟邏輯）</t>
  </si>
  <si>
    <r>
      <rPr>
        <b val="true"/>
        <sz val="10"/>
        <color rgb="FFFFFFFF"/>
        <rFont val="WenQuanYi Zen Hei"/>
        <family val="2"/>
      </rPr>
      <t xml:space="preserve">單看 </t>
    </r>
    <r>
      <rPr>
        <b val="true"/>
        <sz val="10"/>
        <color rgb="FFFFFFFF"/>
        <rFont val="Arial"/>
        <family val="0"/>
        <charset val="1"/>
      </rPr>
      <t xml:space="preserve">P/E </t>
    </r>
    <r>
      <rPr>
        <b val="true"/>
        <sz val="10"/>
        <color rgb="FFFFFFFF"/>
        <rFont val="WenQuanYi Zen Hei"/>
        <family val="2"/>
      </rPr>
      <t xml:space="preserve">的失真點</t>
    </r>
  </si>
  <si>
    <r>
      <rPr>
        <b val="true"/>
        <sz val="10"/>
        <color rgb="FFFFFFFF"/>
        <rFont val="Arial"/>
        <family val="0"/>
        <charset val="1"/>
      </rPr>
      <t xml:space="preserve">P/E </t>
    </r>
    <r>
      <rPr>
        <b val="true"/>
        <sz val="10"/>
        <color rgb="FFFFFFFF"/>
        <rFont val="WenQuanYi Zen Hei"/>
        <family val="2"/>
      </rPr>
      <t xml:space="preserve">適用度</t>
    </r>
  </si>
  <si>
    <r>
      <rPr>
        <sz val="10"/>
        <color rgb="FF000000"/>
        <rFont val="WenQuanYi Zen Hei"/>
        <family val="2"/>
      </rPr>
      <t xml:space="preserve">銀行 </t>
    </r>
    <r>
      <rPr>
        <sz val="10"/>
        <color rgb="FF000000"/>
        <rFont val="Arial"/>
        <family val="0"/>
        <charset val="1"/>
      </rPr>
      <t xml:space="preserve">(JPM)</t>
    </r>
  </si>
  <si>
    <r>
      <rPr>
        <sz val="10"/>
        <color rgb="FF000000"/>
        <rFont val="Arial"/>
        <family val="0"/>
        <charset val="1"/>
      </rPr>
      <t xml:space="preserve">P/B vs ROE</t>
    </r>
    <r>
      <rPr>
        <sz val="10"/>
        <color rgb="FF000000"/>
        <rFont val="WenQuanYi Zen Hei"/>
        <family val="2"/>
      </rPr>
      <t xml:space="preserve">：合理 </t>
    </r>
    <r>
      <rPr>
        <sz val="10"/>
        <color rgb="FF000000"/>
        <rFont val="Arial"/>
        <family val="0"/>
        <charset val="1"/>
      </rPr>
      <t xml:space="preserve">P/B=(ROE−g)/(r−g)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P/TBV</t>
    </r>
  </si>
  <si>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、股息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回購收益率、</t>
    </r>
    <r>
      <rPr>
        <sz val="10"/>
        <color rgb="FF000000"/>
        <rFont val="Arial"/>
        <family val="0"/>
        <charset val="1"/>
      </rPr>
      <t xml:space="preserve">CET1 </t>
    </r>
    <r>
      <rPr>
        <sz val="10"/>
        <color rgb="FF000000"/>
        <rFont val="WenQuanYi Zen Hei"/>
        <family val="2"/>
      </rPr>
      <t xml:space="preserve">超額資本</t>
    </r>
  </si>
  <si>
    <t xml:space="preserve">銀行價值來自權益資本的超額回報；資本受監管約束</t>
  </si>
  <si>
    <r>
      <rPr>
        <sz val="10"/>
        <color rgb="FF000000"/>
        <rFont val="WenQuanYi Zen Hei"/>
        <family val="2"/>
      </rPr>
      <t xml:space="preserve">撥備計提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釋放令 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WenQuanYi Zen Hei"/>
        <family val="2"/>
      </rPr>
      <t xml:space="preserve">週期性大起大落；</t>
    </r>
    <r>
      <rPr>
        <sz val="10"/>
        <color rgb="FF000000"/>
        <rFont val="Arial"/>
        <family val="0"/>
        <charset val="1"/>
      </rPr>
      <t xml:space="preserve">2022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失真</t>
    </r>
  </si>
  <si>
    <r>
      <rPr>
        <sz val="10"/>
        <color rgb="FF000000"/>
        <rFont val="WenQuanYi Zen Hei"/>
        <family val="2"/>
      </rPr>
      <t xml:space="preserve">保險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綜合控股 </t>
    </r>
    <r>
      <rPr>
        <sz val="10"/>
        <color rgb="FF000000"/>
        <rFont val="Arial"/>
        <family val="0"/>
        <charset val="1"/>
      </rPr>
      <t xml:space="preserve">(BRK)</t>
    </r>
  </si>
  <si>
    <r>
      <rPr>
        <sz val="10"/>
        <color rgb="FF000000"/>
        <rFont val="Arial"/>
        <family val="0"/>
        <charset val="1"/>
      </rPr>
      <t xml:space="preserve">P/B</t>
    </r>
    <r>
      <rPr>
        <sz val="10"/>
        <color rgb="FF000000"/>
        <rFont val="WenQuanYi Zen Hei"/>
        <family val="2"/>
      </rPr>
      <t xml:space="preserve">、內在價值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營運盈利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倍數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超額現金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</si>
  <si>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浮存金成本、分部加總</t>
    </r>
    <r>
      <rPr>
        <sz val="10"/>
        <color rgb="FF000000"/>
        <rFont val="Arial"/>
        <family val="0"/>
        <charset val="1"/>
      </rPr>
      <t xml:space="preserve">(SOTP)</t>
    </r>
  </si>
  <si>
    <r>
      <rPr>
        <sz val="10"/>
        <color rgb="FF000000"/>
        <rFont val="WenQuanYi Zen Hei"/>
        <family val="2"/>
      </rPr>
      <t xml:space="preserve">巴菲特本人以 </t>
    </r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及回購門檻衡量；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淨利含未實現投資損益</t>
    </r>
  </si>
  <si>
    <r>
      <rPr>
        <sz val="10"/>
        <color rgb="FF000000"/>
        <rFont val="Arial"/>
        <family val="0"/>
        <charset val="1"/>
      </rPr>
      <t xml:space="preserve">GAAP EPS 2022 </t>
    </r>
    <r>
      <rPr>
        <sz val="10"/>
        <color rgb="FF000000"/>
        <rFont val="WenQuanYi Zen Hei"/>
        <family val="2"/>
      </rPr>
      <t xml:space="preserve">年 −</t>
    </r>
    <r>
      <rPr>
        <sz val="10"/>
        <color rgb="FF000000"/>
        <rFont val="Arial"/>
        <family val="0"/>
        <charset val="1"/>
      </rPr>
      <t xml:space="preserve">$10.3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$44.3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毫無意義</t>
    </r>
  </si>
  <si>
    <r>
      <rPr>
        <sz val="10"/>
        <color rgb="FF000000"/>
        <rFont val="WenQuanYi Zen Hei"/>
        <family val="2"/>
      </rPr>
      <t xml:space="preserve">支付網絡 </t>
    </r>
    <r>
      <rPr>
        <sz val="10"/>
        <color rgb="FF000000"/>
        <rFont val="Arial"/>
        <family val="0"/>
        <charset val="1"/>
      </rPr>
      <t xml:space="preserve">(V/MA)</t>
    </r>
  </si>
  <si>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收益率、</t>
    </r>
    <r>
      <rPr>
        <sz val="10"/>
        <color rgb="FF000000"/>
        <rFont val="Arial"/>
        <family val="0"/>
        <charset val="1"/>
      </rPr>
      <t xml:space="preserve">PEG</t>
    </r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</si>
  <si>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WenQuanYi Zen Hei"/>
        <family val="2"/>
      </rPr>
      <t xml:space="preserve">（高轉換率 </t>
    </r>
    <r>
      <rPr>
        <sz val="10"/>
        <color rgb="FF000000"/>
        <rFont val="Arial"/>
        <family val="0"/>
        <charset val="1"/>
      </rPr>
      <t xml:space="preserve">FCF≈</t>
    </r>
    <r>
      <rPr>
        <sz val="10"/>
        <color rgb="FF000000"/>
        <rFont val="WenQuanYi Zen Hei"/>
        <family val="2"/>
      </rPr>
      <t xml:space="preserve">淨利）</t>
    </r>
  </si>
  <si>
    <r>
      <rPr>
        <sz val="10"/>
        <color rgb="FF000000"/>
        <rFont val="WenQuanYi Zen Hei"/>
        <family val="2"/>
      </rPr>
      <t xml:space="preserve">輕資產、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轉換率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WenQuanYi Zen Hei"/>
        <family val="2"/>
      </rPr>
      <t xml:space="preserve">、增長可預測</t>
    </r>
  </si>
  <si>
    <r>
      <rPr>
        <sz val="10"/>
        <color rgb="FF000000"/>
        <rFont val="WenQuanYi Zen Hei"/>
        <family val="2"/>
      </rPr>
      <t xml:space="preserve">訴訟撥備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每季 </t>
    </r>
    <r>
      <rPr>
        <sz val="10"/>
        <color rgb="FF000000"/>
        <rFont val="Arial"/>
        <family val="0"/>
        <charset val="1"/>
      </rPr>
      <t xml:space="preserve">$0.6–1.0B) </t>
    </r>
    <r>
      <rPr>
        <sz val="10"/>
        <color rgb="FF000000"/>
        <rFont val="WenQuanYi Zen Hei"/>
        <family val="2"/>
      </rPr>
      <t xml:space="preserve">壓低 </t>
    </r>
    <r>
      <rPr>
        <sz val="10"/>
        <color rgb="FF000000"/>
        <rFont val="Arial"/>
        <family val="0"/>
        <charset val="1"/>
      </rPr>
      <t xml:space="preserve">GAAP EPS</t>
    </r>
    <r>
      <rPr>
        <sz val="10"/>
        <color rgb="FF000000"/>
        <rFont val="WenQuanYi Zen Hei"/>
        <family val="2"/>
      </rPr>
      <t xml:space="preserve">；需用調整後</t>
    </r>
  </si>
  <si>
    <r>
      <rPr>
        <sz val="10"/>
        <color rgb="FF000000"/>
        <rFont val="WenQuanYi Zen Hei"/>
        <family val="2"/>
      </rPr>
      <t xml:space="preserve">受監管公用事業 </t>
    </r>
    <r>
      <rPr>
        <sz val="10"/>
        <color rgb="FF000000"/>
        <rFont val="Arial"/>
        <family val="0"/>
        <charset val="1"/>
      </rPr>
      <t xml:space="preserve">(NEE/SO)</t>
    </r>
  </si>
  <si>
    <r>
      <rPr>
        <sz val="10"/>
        <color rgb="FF000000"/>
        <rFont val="Arial"/>
        <family val="0"/>
        <charset val="1"/>
      </rPr>
      <t xml:space="preserve">Fwd P/E vs 10Y </t>
    </r>
    <r>
      <rPr>
        <sz val="10"/>
        <color rgb="FF000000"/>
        <rFont val="WenQuanYi Zen Hei"/>
        <family val="2"/>
      </rPr>
      <t xml:space="preserve">殖利率；股息折現</t>
    </r>
    <r>
      <rPr>
        <sz val="10"/>
        <color rgb="FF000000"/>
        <rFont val="Arial"/>
        <family val="0"/>
        <charset val="1"/>
      </rPr>
      <t xml:space="preserve">(DDM)</t>
    </r>
  </si>
  <si>
    <r>
      <rPr>
        <sz val="10"/>
        <color rgb="FF000000"/>
        <rFont val="WenQuanYi Zen Hei"/>
        <family val="2"/>
      </rPr>
      <t xml:space="preserve">費率基礎</t>
    </r>
    <r>
      <rPr>
        <sz val="10"/>
        <color rgb="FF000000"/>
        <rFont val="Arial"/>
        <family val="0"/>
        <charset val="1"/>
      </rPr>
      <t xml:space="preserve">(rate base)</t>
    </r>
    <r>
      <rPr>
        <sz val="10"/>
        <color rgb="FF000000"/>
        <rFont val="WenQuanYi Zen Hei"/>
        <family val="2"/>
      </rPr>
      <t xml:space="preserve">增長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ROE</t>
    </r>
  </si>
  <si>
    <r>
      <rPr>
        <sz val="10"/>
        <color rgb="FF000000"/>
        <rFont val="WenQuanYi Zen Hei"/>
        <family val="2"/>
      </rPr>
      <t xml:space="preserve">盈利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允許回報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費率基礎；類債券資產，對利率敏感</t>
    </r>
  </si>
  <si>
    <r>
      <rPr>
        <sz val="10"/>
        <color rgb="FF000000"/>
        <rFont val="WenQuanYi Zen Hei"/>
        <family val="2"/>
      </rPr>
      <t xml:space="preserve">一次性項目</t>
    </r>
    <r>
      <rPr>
        <sz val="10"/>
        <color rgb="FF000000"/>
        <rFont val="Arial"/>
        <family val="0"/>
        <charset val="1"/>
      </rPr>
      <t xml:space="preserve">(NEE GAAP vs </t>
    </r>
    <r>
      <rPr>
        <sz val="10"/>
        <color rgb="FF000000"/>
        <rFont val="WenQuanYi Zen Hei"/>
        <family val="2"/>
      </rPr>
      <t xml:space="preserve">調整後差異大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；忽略負 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與股權攤薄</t>
    </r>
  </si>
  <si>
    <r>
      <rPr>
        <sz val="10"/>
        <color rgb="FF000000"/>
        <rFont val="WenQuanYi Zen Hei"/>
        <family val="2"/>
      </rPr>
      <t xml:space="preserve">獨立發電 </t>
    </r>
    <r>
      <rPr>
        <sz val="10"/>
        <color rgb="FF000000"/>
        <rFont val="Arial"/>
        <family val="0"/>
        <charset val="1"/>
      </rPr>
      <t xml:space="preserve">(CEG)</t>
    </r>
  </si>
  <si>
    <r>
      <rPr>
        <sz val="10"/>
        <color rgb="FF000000"/>
        <rFont val="Arial"/>
        <family val="0"/>
        <charset val="1"/>
      </rPr>
      <t xml:space="preserve">EV/EBITDA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收益率</t>
    </r>
  </si>
  <si>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、合約</t>
    </r>
    <r>
      <rPr>
        <sz val="10"/>
        <color rgb="FF000000"/>
        <rFont val="Arial"/>
        <family val="0"/>
        <charset val="1"/>
      </rPr>
      <t xml:space="preserve">(PPA)</t>
    </r>
    <r>
      <rPr>
        <sz val="10"/>
        <color rgb="FF000000"/>
        <rFont val="WenQuanYi Zen Hei"/>
        <family val="2"/>
      </rPr>
      <t xml:space="preserve">覆蓋率</t>
    </r>
  </si>
  <si>
    <r>
      <rPr>
        <sz val="10"/>
        <color rgb="FF000000"/>
        <rFont val="WenQuanYi Zen Hei"/>
        <family val="2"/>
      </rPr>
      <t xml:space="preserve">收入隨電價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產能拍賣波動；數據中心 </t>
    </r>
    <r>
      <rPr>
        <sz val="10"/>
        <color rgb="FF000000"/>
        <rFont val="Arial"/>
        <family val="0"/>
        <charset val="1"/>
      </rPr>
      <t xml:space="preserve">PPA </t>
    </r>
    <r>
      <rPr>
        <sz val="10"/>
        <color rgb="FF000000"/>
        <rFont val="WenQuanYi Zen Hei"/>
        <family val="2"/>
      </rPr>
      <t xml:space="preserve">決定估值上限</t>
    </r>
  </si>
  <si>
    <r>
      <rPr>
        <sz val="10"/>
        <color rgb="FF000000"/>
        <rFont val="WenQuanYi Zen Hei"/>
        <family val="2"/>
      </rPr>
      <t xml:space="preserve">公允價值調整與 </t>
    </r>
    <r>
      <rPr>
        <sz val="10"/>
        <color rgb="FF000000"/>
        <rFont val="Arial"/>
        <family val="0"/>
        <charset val="1"/>
      </rPr>
      <t xml:space="preserve">Calpine </t>
    </r>
    <r>
      <rPr>
        <sz val="10"/>
        <color rgb="FF000000"/>
        <rFont val="WenQuanYi Zen Hei"/>
        <family val="2"/>
      </rPr>
      <t xml:space="preserve">併購攤銷令 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失真</t>
    </r>
  </si>
  <si>
    <t xml:space="preserve">REITs (WELL/PLD/EQIX)</t>
  </si>
  <si>
    <r>
      <rPr>
        <sz val="10"/>
        <color rgb="FF000000"/>
        <rFont val="Arial"/>
        <family val="0"/>
        <charset val="1"/>
      </rPr>
      <t xml:space="preserve">P/FFO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P/AFFO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NAV/</t>
    </r>
    <r>
      <rPr>
        <sz val="10"/>
        <color rgb="FF000000"/>
        <rFont val="WenQuanYi Zen Hei"/>
        <family val="2"/>
      </rPr>
      <t xml:space="preserve">隱含資本化率</t>
    </r>
  </si>
  <si>
    <r>
      <rPr>
        <sz val="10"/>
        <color rgb="FF000000"/>
        <rFont val="WenQuanYi Zen Hei"/>
        <family val="2"/>
      </rPr>
      <t xml:space="preserve">股息收益率 </t>
    </r>
    <r>
      <rPr>
        <sz val="10"/>
        <color rgb="FF000000"/>
        <rFont val="Arial"/>
        <family val="0"/>
        <charset val="1"/>
      </rPr>
      <t xml:space="preserve">vs 10Y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DCF</t>
    </r>
  </si>
  <si>
    <r>
      <rPr>
        <sz val="10"/>
        <color rgb="FF000000"/>
        <rFont val="WenQuanYi Zen Hei"/>
        <family val="2"/>
      </rPr>
      <t xml:space="preserve">房地產折舊非真實經濟成本；</t>
    </r>
    <r>
      <rPr>
        <sz val="10"/>
        <color rgb="FF000000"/>
        <rFont val="Arial"/>
        <family val="0"/>
        <charset val="1"/>
      </rPr>
      <t xml:space="preserve">REIT </t>
    </r>
    <r>
      <rPr>
        <sz val="10"/>
        <color rgb="FF000000"/>
        <rFont val="WenQuanYi Zen Hei"/>
        <family val="2"/>
      </rPr>
      <t xml:space="preserve">須派 </t>
    </r>
    <r>
      <rPr>
        <sz val="10"/>
        <color rgb="FF000000"/>
        <rFont val="Arial"/>
        <family val="0"/>
        <charset val="1"/>
      </rPr>
      <t xml:space="preserve">90% </t>
    </r>
    <r>
      <rPr>
        <sz val="10"/>
        <color rgb="FF000000"/>
        <rFont val="WenQuanYi Zen Hei"/>
        <family val="2"/>
      </rPr>
      <t xml:space="preserve">應稅收入</t>
    </r>
  </si>
  <si>
    <r>
      <rPr>
        <sz val="10"/>
        <color rgb="FF000000"/>
        <rFont val="Arial"/>
        <family val="0"/>
        <charset val="1"/>
      </rPr>
      <t xml:space="preserve">WELL GAAP P/E 105x vs P/FFO 35x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EQIX 66x vs P/AFFO 24x — P/E </t>
    </r>
    <r>
      <rPr>
        <sz val="10"/>
        <color rgb="FF000000"/>
        <rFont val="WenQuanYi Zen Hei"/>
        <family val="2"/>
      </rPr>
      <t xml:space="preserve">完全失真</t>
    </r>
  </si>
  <si>
    <r>
      <rPr>
        <sz val="10"/>
        <color rgb="FF000000"/>
        <rFont val="WenQuanYi Zen Hei"/>
        <family val="2"/>
      </rPr>
      <t xml:space="preserve">工業氣體 </t>
    </r>
    <r>
      <rPr>
        <sz val="10"/>
        <color rgb="FF000000"/>
        <rFont val="Arial"/>
        <family val="0"/>
        <charset val="1"/>
      </rPr>
      <t xml:space="preserve">(LIN)</t>
    </r>
  </si>
  <si>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EV/EBITDA</t>
    </r>
  </si>
  <si>
    <r>
      <rPr>
        <sz val="10"/>
        <color rgb="FF000000"/>
        <rFont val="Arial"/>
        <family val="0"/>
        <charset val="1"/>
      </rPr>
      <t xml:space="preserve">ROC</t>
    </r>
    <r>
      <rPr>
        <sz val="10"/>
        <color rgb="FF000000"/>
        <rFont val="WenQuanYi Zen Hei"/>
        <family val="2"/>
      </rPr>
      <t xml:space="preserve">、合約 </t>
    </r>
    <r>
      <rPr>
        <sz val="10"/>
        <color rgb="FF000000"/>
        <rFont val="Arial"/>
        <family val="0"/>
        <charset val="1"/>
      </rPr>
      <t xml:space="preserve">backlog</t>
    </r>
  </si>
  <si>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WenQuanYi Zen Hei"/>
        <family val="2"/>
      </rPr>
      <t xml:space="preserve">年照付不議合約，盈利穩定如公用事業但增長更快</t>
    </r>
  </si>
  <si>
    <r>
      <rPr>
        <sz val="10"/>
        <color rgb="FF000000"/>
        <rFont val="WenQuanYi Zen Hei"/>
        <family val="2"/>
      </rPr>
      <t xml:space="preserve">較少失真；需看調整後 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WenQuanYi Zen Hei"/>
        <family val="2"/>
      </rPr>
      <t xml:space="preserve">（剔除俄羅斯減值等）</t>
    </r>
  </si>
  <si>
    <r>
      <rPr>
        <sz val="10"/>
        <color rgb="FF000000"/>
        <rFont val="WenQuanYi Zen Hei"/>
        <family val="2"/>
      </rPr>
      <t xml:space="preserve">金屬礦業 </t>
    </r>
    <r>
      <rPr>
        <sz val="10"/>
        <color rgb="FF000000"/>
        <rFont val="Arial"/>
        <family val="0"/>
        <charset val="1"/>
      </rPr>
      <t xml:space="preserve">(NEM/FCX)</t>
    </r>
  </si>
  <si>
    <r>
      <rPr>
        <sz val="10"/>
        <color rgb="FF000000"/>
        <rFont val="Arial"/>
        <family val="0"/>
        <charset val="1"/>
      </rPr>
      <t xml:space="preserve">P/NAV</t>
    </r>
    <r>
      <rPr>
        <sz val="10"/>
        <color rgb="FF000000"/>
        <rFont val="WenQuanYi Zen Hei"/>
        <family val="2"/>
      </rPr>
      <t xml:space="preserve">、中週期價格下 </t>
    </r>
    <r>
      <rPr>
        <sz val="10"/>
        <color rgb="FF000000"/>
        <rFont val="Arial"/>
        <family val="0"/>
        <charset val="1"/>
      </rPr>
      <t xml:space="preserve">EV/EBITDA</t>
    </r>
  </si>
  <si>
    <r>
      <rPr>
        <sz val="10"/>
        <color rgb="FF000000"/>
        <rFont val="WenQuanYi Zen Hei"/>
        <family val="2"/>
      </rPr>
      <t xml:space="preserve">在期貨曲線下的 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收益率、</t>
    </r>
    <r>
      <rPr>
        <sz val="10"/>
        <color rgb="FF000000"/>
        <rFont val="Arial"/>
        <family val="0"/>
        <charset val="1"/>
      </rPr>
      <t xml:space="preserve">AISC </t>
    </r>
    <r>
      <rPr>
        <sz val="10"/>
        <color rgb="FF000000"/>
        <rFont val="WenQuanYi Zen Hei"/>
        <family val="2"/>
      </rPr>
      <t xml:space="preserve">曲線位置</t>
    </r>
  </si>
  <si>
    <r>
      <rPr>
        <sz val="10"/>
        <color rgb="FF000000"/>
        <rFont val="WenQuanYi Zen Hei"/>
        <family val="2"/>
      </rPr>
      <t xml:space="preserve">價格接受者，價值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儲量</t>
    </r>
    <r>
      <rPr>
        <sz val="10"/>
        <color rgb="FF000000"/>
        <rFont val="Arial"/>
        <family val="0"/>
        <charset val="1"/>
      </rPr>
      <t xml:space="preserve">×(</t>
    </r>
    <r>
      <rPr>
        <sz val="10"/>
        <color rgb="FF000000"/>
        <rFont val="WenQuanYi Zen Hei"/>
        <family val="2"/>
      </rPr>
      <t xml:space="preserve">價格−成本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</si>
  <si>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金價 </t>
    </r>
    <r>
      <rPr>
        <sz val="10"/>
        <color rgb="FF000000"/>
        <rFont val="Arial"/>
        <family val="0"/>
        <charset val="1"/>
      </rPr>
      <t xml:space="preserve">$4,500 / </t>
    </r>
    <r>
      <rPr>
        <sz val="10"/>
        <color rgb="FF000000"/>
        <rFont val="WenQuanYi Zen Hei"/>
        <family val="2"/>
      </rPr>
      <t xml:space="preserve">銅價 </t>
    </r>
    <r>
      <rPr>
        <sz val="10"/>
        <color rgb="FF000000"/>
        <rFont val="Arial"/>
        <family val="0"/>
        <charset val="1"/>
      </rPr>
      <t xml:space="preserve">$6.5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最低 → 週期頂部陷阱</t>
    </r>
  </si>
  <si>
    <r>
      <rPr>
        <sz val="10"/>
        <color rgb="FF000000"/>
        <rFont val="WenQuanYi Zen Hei"/>
        <family val="2"/>
      </rPr>
      <t xml:space="preserve">能源 </t>
    </r>
    <r>
      <rPr>
        <sz val="10"/>
        <color rgb="FF000000"/>
        <rFont val="Arial"/>
        <family val="0"/>
        <charset val="1"/>
      </rPr>
      <t xml:space="preserve">(XOM/CVX)</t>
    </r>
  </si>
  <si>
    <r>
      <rPr>
        <sz val="10"/>
        <color rgb="FF000000"/>
        <rFont val="WenQuanYi Zen Hei"/>
        <family val="2"/>
      </rPr>
      <t xml:space="preserve">中週期油價</t>
    </r>
    <r>
      <rPr>
        <sz val="10"/>
        <color rgb="FF000000"/>
        <rFont val="Arial"/>
        <family val="0"/>
        <charset val="1"/>
      </rPr>
      <t xml:space="preserve">($65–70)</t>
    </r>
    <r>
      <rPr>
        <sz val="10"/>
        <color rgb="FF000000"/>
        <rFont val="WenQuanYi Zen Hei"/>
        <family val="2"/>
      </rPr>
      <t xml:space="preserve">下 </t>
    </r>
    <r>
      <rPr>
        <sz val="10"/>
        <color rgb="FF000000"/>
        <rFont val="Arial"/>
        <family val="0"/>
        <charset val="1"/>
      </rPr>
      <t xml:space="preserve">EV/EBITDA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收益率</t>
    </r>
  </si>
  <si>
    <r>
      <rPr>
        <sz val="10"/>
        <color rgb="FF000000"/>
        <rFont val="Arial"/>
        <family val="0"/>
        <charset val="1"/>
      </rPr>
      <t xml:space="preserve">P/CF</t>
    </r>
    <r>
      <rPr>
        <sz val="10"/>
        <color rgb="FF000000"/>
        <rFont val="WenQuanYi Zen Hei"/>
        <family val="2"/>
      </rPr>
      <t xml:space="preserve">、儲量替代率</t>
    </r>
  </si>
  <si>
    <t xml:space="preserve">盈利與油價高度相關</t>
  </si>
  <si>
    <r>
      <rPr>
        <sz val="10"/>
        <color rgb="FF000000"/>
        <rFont val="WenQuanYi Zen Hei"/>
        <family val="2"/>
      </rPr>
      <t xml:space="preserve">油價 </t>
    </r>
    <r>
      <rPr>
        <sz val="10"/>
        <color rgb="FF000000"/>
        <rFont val="Arial"/>
        <family val="0"/>
        <charset val="1"/>
      </rPr>
      <t xml:space="preserve">$90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Fwd P/E 13.5x </t>
    </r>
    <r>
      <rPr>
        <sz val="10"/>
        <color rgb="FF000000"/>
        <rFont val="WenQuanYi Zen Hei"/>
        <family val="2"/>
      </rPr>
      <t xml:space="preserve">看似便宜，</t>
    </r>
    <r>
      <rPr>
        <sz val="10"/>
        <color rgb="FF000000"/>
        <rFont val="Arial"/>
        <family val="0"/>
        <charset val="1"/>
      </rPr>
      <t xml:space="preserve">CY27 EPS −9.3%</t>
    </r>
  </si>
  <si>
    <t xml:space="preserve">資訊科技</t>
  </si>
  <si>
    <r>
      <rPr>
        <sz val="10"/>
        <color rgb="FF000000"/>
        <rFont val="WenQuanYi Zen Hei"/>
        <family val="2"/>
      </rPr>
      <t xml:space="preserve">成熟：</t>
    </r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；高增長：</t>
    </r>
    <r>
      <rPr>
        <sz val="10"/>
        <color rgb="FF000000"/>
        <rFont val="Arial"/>
        <family val="0"/>
        <charset val="1"/>
      </rPr>
      <t xml:space="preserve">EV/Sales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PEG</t>
    </r>
  </si>
  <si>
    <r>
      <rPr>
        <sz val="10"/>
        <color rgb="FF000000"/>
        <rFont val="Arial"/>
        <family val="0"/>
        <charset val="1"/>
      </rPr>
      <t xml:space="preserve">Rule of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DCF</t>
    </r>
  </si>
  <si>
    <t xml:space="preserve">增長率差異極大；半導體有強週期</t>
  </si>
  <si>
    <r>
      <rPr>
        <sz val="10"/>
        <color rgb="FF000000"/>
        <rFont val="WenQuanYi Zen Hei"/>
        <family val="2"/>
      </rPr>
      <t xml:space="preserve">半導體盈利 </t>
    </r>
    <r>
      <rPr>
        <sz val="10"/>
        <color rgb="FF000000"/>
        <rFont val="Arial"/>
        <family val="0"/>
        <charset val="1"/>
      </rPr>
      <t xml:space="preserve">+130% </t>
    </r>
    <r>
      <rPr>
        <sz val="10"/>
        <color rgb="FF000000"/>
        <rFont val="WenQuanYi Zen Hei"/>
        <family val="2"/>
      </rPr>
      <t xml:space="preserve">令板塊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低於均值，週期頂部風險</t>
    </r>
  </si>
  <si>
    <t xml:space="preserve">醫療保健</t>
  </si>
  <si>
    <r>
      <rPr>
        <sz val="10"/>
        <color rgb="FF000000"/>
        <rFont val="Arial"/>
        <family val="0"/>
        <charset val="1"/>
      </rPr>
      <t xml:space="preserve">P/E + </t>
    </r>
    <r>
      <rPr>
        <sz val="10"/>
        <color rgb="FF000000"/>
        <rFont val="WenQuanYi Zen Hei"/>
        <family val="2"/>
      </rPr>
      <t xml:space="preserve">管線 </t>
    </r>
    <r>
      <rPr>
        <sz val="10"/>
        <color rgb="FF000000"/>
        <rFont val="Arial"/>
        <family val="0"/>
        <charset val="1"/>
      </rPr>
      <t xml:space="preserve">rNPV</t>
    </r>
  </si>
  <si>
    <r>
      <rPr>
        <sz val="10"/>
        <color rgb="FF000000"/>
        <rFont val="WenQuanYi Zen Hei"/>
        <family val="2"/>
      </rPr>
      <t xml:space="preserve">專利懸崖調整後 </t>
    </r>
    <r>
      <rPr>
        <sz val="10"/>
        <color rgb="FF000000"/>
        <rFont val="Arial"/>
        <family val="0"/>
        <charset val="1"/>
      </rPr>
      <t xml:space="preserve">EPS</t>
    </r>
  </si>
  <si>
    <t xml:space="preserve">專利到期導致盈利斷崖</t>
  </si>
  <si>
    <r>
      <rPr>
        <sz val="10"/>
        <color rgb="FF000000"/>
        <rFont val="Arial"/>
        <family val="0"/>
        <charset val="1"/>
      </rPr>
      <t xml:space="preserve">LLY </t>
    </r>
    <r>
      <rPr>
        <sz val="10"/>
        <color rgb="FF000000"/>
        <rFont val="WenQuanYi Zen Hei"/>
        <family val="2"/>
      </rPr>
      <t xml:space="preserve">一家拉高板塊；收購研發費用一次性扣除</t>
    </r>
    <r>
      <rPr>
        <sz val="10"/>
        <color rgb="FF000000"/>
        <rFont val="Arial"/>
        <family val="0"/>
        <charset val="1"/>
      </rPr>
      <t xml:space="preserve">(MRK P/E 113x)</t>
    </r>
  </si>
  <si>
    <t xml:space="preserve">必需消費</t>
  </si>
  <si>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、股息率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債券</t>
    </r>
  </si>
  <si>
    <t xml:space="preserve">EV/EBITDA</t>
  </si>
  <si>
    <t xml:space="preserve">低增長、類債券</t>
  </si>
  <si>
    <r>
      <rPr>
        <sz val="10"/>
        <color rgb="FF000000"/>
        <rFont val="WenQuanYi Zen Hei"/>
        <family val="2"/>
      </rPr>
      <t xml:space="preserve">低增長配高倍數時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看似「合理」但 </t>
    </r>
    <r>
      <rPr>
        <sz val="10"/>
        <color rgb="FF000000"/>
        <rFont val="Arial"/>
        <family val="0"/>
        <charset val="1"/>
      </rPr>
      <t xml:space="preserve">PEG </t>
    </r>
    <r>
      <rPr>
        <sz val="10"/>
        <color rgb="FF000000"/>
        <rFont val="WenQuanYi Zen Hei"/>
        <family val="2"/>
      </rPr>
      <t xml:space="preserve">很差</t>
    </r>
  </si>
  <si>
    <r>
      <rPr>
        <b val="true"/>
        <sz val="11"/>
        <color rgb="FFFFFFFF"/>
        <rFont val="WenQuanYi Zen Hei"/>
        <family val="2"/>
      </rPr>
      <t xml:space="preserve">板塊估值算法（</t>
    </r>
    <r>
      <rPr>
        <b val="true"/>
        <sz val="11"/>
        <color rgb="FFFFFFFF"/>
        <rFont val="Arial"/>
        <family val="0"/>
        <charset val="1"/>
      </rPr>
      <t xml:space="preserve">FactSet </t>
    </r>
    <r>
      <rPr>
        <b val="true"/>
        <sz val="11"/>
        <color rgb="FFFFFFFF"/>
        <rFont val="WenQuanYi Zen Hei"/>
        <family val="2"/>
      </rPr>
      <t xml:space="preserve">加總 </t>
    </r>
    <r>
      <rPr>
        <b val="true"/>
        <sz val="11"/>
        <color rgb="FFFFFFFF"/>
        <rFont val="Arial"/>
        <family val="0"/>
        <charset val="1"/>
      </rPr>
      <t xml:space="preserve">Fwd P/E</t>
    </r>
    <r>
      <rPr>
        <b val="true"/>
        <sz val="11"/>
        <color rgb="FFFFFFFF"/>
        <rFont val="WenQuanYi Zen Hei"/>
        <family val="2"/>
      </rPr>
      <t xml:space="preserve">）合理性評估</t>
    </r>
  </si>
  <si>
    <t xml:space="preserve">偏差來源</t>
  </si>
  <si>
    <t xml:space="preserve">說明</t>
  </si>
  <si>
    <t xml:space="preserve">影響</t>
  </si>
  <si>
    <t xml:space="preserve">本分析的修正方式</t>
  </si>
  <si>
    <t xml:space="preserve">市值加權偏差</t>
  </si>
  <si>
    <r>
      <rPr>
        <sz val="10"/>
        <color rgb="FF000000"/>
        <rFont val="WenQuanYi Zen Hei"/>
        <family val="2"/>
      </rPr>
      <t xml:space="preserve">板塊 </t>
    </r>
    <r>
      <rPr>
        <sz val="10"/>
        <color rgb="FF000000"/>
        <rFont val="Arial"/>
        <family val="0"/>
        <charset val="1"/>
      </rPr>
      <t xml:space="preserve">P/E = </t>
    </r>
    <r>
      <rPr>
        <sz val="10"/>
        <color rgb="FF000000"/>
        <rFont val="WenQuanYi Zen Hei"/>
        <family val="2"/>
      </rPr>
      <t xml:space="preserve">板塊總市值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總預期盈利，被巨頭主導（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大佔比過半；醫療被 </t>
    </r>
    <r>
      <rPr>
        <sz val="10"/>
        <color rgb="FF000000"/>
        <rFont val="Arial"/>
        <family val="0"/>
        <charset val="1"/>
      </rPr>
      <t xml:space="preserve">LLY </t>
    </r>
    <r>
      <rPr>
        <sz val="10"/>
        <color rgb="FF000000"/>
        <rFont val="WenQuanYi Zen Hei"/>
        <family val="2"/>
      </rPr>
      <t xml:space="preserve">主導）。</t>
    </r>
  </si>
  <si>
    <t xml:space="preserve">高</t>
  </si>
  <si>
    <r>
      <rPr>
        <sz val="10"/>
        <color rgb="FF000000"/>
        <rFont val="WenQuanYi Zen Hei"/>
        <family val="2"/>
      </rPr>
      <t xml:space="preserve">同時看等權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與中位數（本表 </t>
    </r>
    <r>
      <rPr>
        <sz val="10"/>
        <color rgb="FF000000"/>
        <rFont val="Arial"/>
        <family val="0"/>
        <charset val="1"/>
      </rPr>
      <t xml:space="preserve">Comps </t>
    </r>
    <r>
      <rPr>
        <sz val="10"/>
        <color rgb="FF000000"/>
        <rFont val="WenQuanYi Zen Hei"/>
        <family val="2"/>
      </rPr>
      <t xml:space="preserve">用個股中位數交叉驗證）</t>
    </r>
  </si>
  <si>
    <t xml:space="preserve">一致預期樂觀偏差</t>
  </si>
  <si>
    <r>
      <rPr>
        <sz val="10"/>
        <color rgb="FF000000"/>
        <rFont val="WenQuanYi Zen Hei"/>
        <family val="2"/>
      </rPr>
      <t xml:space="preserve">歷史上分析師季內平均下修 </t>
    </r>
    <r>
      <rPr>
        <sz val="10"/>
        <color rgb="FF000000"/>
        <rFont val="Arial"/>
        <family val="0"/>
        <charset val="1"/>
      </rPr>
      <t xml:space="preserve">EPS 2–4%</t>
    </r>
    <r>
      <rPr>
        <sz val="10"/>
        <color rgb="FF000000"/>
        <rFont val="WenQuanYi Zen Hei"/>
        <family val="2"/>
      </rPr>
      <t xml:space="preserve">；本季反而上修 </t>
    </r>
    <r>
      <rPr>
        <sz val="10"/>
        <color rgb="FF000000"/>
        <rFont val="Arial"/>
        <family val="0"/>
        <charset val="1"/>
      </rPr>
      <t xml:space="preserve">1.4%</t>
    </r>
    <r>
      <rPr>
        <sz val="10"/>
        <color rgb="FF000000"/>
        <rFont val="WenQuanYi Zen Hei"/>
        <family val="2"/>
      </rPr>
      <t xml:space="preserve">，盈利動能強但頂部特徵明顯。</t>
    </r>
  </si>
  <si>
    <t xml:space="preserve">中</t>
  </si>
  <si>
    <r>
      <rPr>
        <sz val="10"/>
        <color rgb="FF000000"/>
        <rFont val="WenQuanYi Zen Hei"/>
        <family val="2"/>
      </rPr>
      <t xml:space="preserve">對週期股用中週期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正常化盈利</t>
    </r>
  </si>
  <si>
    <t xml:space="preserve">週期頂部陷阱</t>
  </si>
  <si>
    <r>
      <rPr>
        <sz val="10"/>
        <color rgb="FF000000"/>
        <rFont val="WenQuanYi Zen Hei"/>
        <family val="2"/>
      </rPr>
      <t xml:space="preserve">能源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原材料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半導體在盈利高峰時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最低，按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會買在頂部。</t>
    </r>
  </si>
  <si>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EV/EBITDA@</t>
    </r>
    <r>
      <rPr>
        <sz val="10"/>
        <color rgb="FF000000"/>
        <rFont val="WenQuanYi Zen Hei"/>
        <family val="2"/>
      </rPr>
      <t xml:space="preserve">中週期價格、</t>
    </r>
    <r>
      <rPr>
        <sz val="10"/>
        <color rgb="FF000000"/>
        <rFont val="Arial"/>
        <family val="0"/>
        <charset val="1"/>
      </rPr>
      <t xml:space="preserve">P/NAV</t>
    </r>
  </si>
  <si>
    <t xml:space="preserve">利率環境未調整</t>
  </si>
  <si>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均值含 </t>
    </r>
    <r>
      <rPr>
        <sz val="10"/>
        <color rgb="FF000000"/>
        <rFont val="Arial"/>
        <family val="0"/>
        <charset val="1"/>
      </rPr>
      <t xml:space="preserve">2020–21 </t>
    </r>
    <r>
      <rPr>
        <sz val="10"/>
        <color rgb="FF000000"/>
        <rFont val="WenQuanYi Zen Hei"/>
        <family val="2"/>
      </rPr>
      <t xml:space="preserve">零利率時期；現 </t>
    </r>
    <r>
      <rPr>
        <sz val="10"/>
        <color rgb="FF000000"/>
        <rFont val="Arial"/>
        <family val="0"/>
        <charset val="1"/>
      </rPr>
      <t xml:space="preserve">10Y ≈4.6%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Fed </t>
    </r>
    <r>
      <rPr>
        <sz val="10"/>
        <color rgb="FF000000"/>
        <rFont val="WenQuanYi Zen Hei"/>
        <family val="2"/>
      </rPr>
      <t xml:space="preserve">加息至 </t>
    </r>
    <r>
      <rPr>
        <sz val="10"/>
        <color rgb="FF000000"/>
        <rFont val="Arial"/>
        <family val="0"/>
        <charset val="1"/>
      </rPr>
      <t xml:space="preserve">3.75–4.00%</t>
    </r>
    <r>
      <rPr>
        <sz val="10"/>
        <color rgb="FF000000"/>
        <rFont val="WenQuanYi Zen Hei"/>
        <family val="2"/>
      </rPr>
      <t xml:space="preserve">，合理倍數中樞應低於歷史均值。</t>
    </r>
  </si>
  <si>
    <r>
      <rPr>
        <sz val="10"/>
        <color rgb="FF000000"/>
        <rFont val="WenQuanYi Zen Hei"/>
        <family val="2"/>
      </rPr>
      <t xml:space="preserve">看盈利收益率−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的股權風險溢價（</t>
    </r>
    <r>
      <rPr>
        <sz val="10"/>
        <color rgb="FF000000"/>
        <rFont val="Arial"/>
        <family val="0"/>
        <charset val="1"/>
      </rPr>
      <t xml:space="preserve">Sector_Map M </t>
    </r>
    <r>
      <rPr>
        <sz val="10"/>
        <color rgb="FF000000"/>
        <rFont val="WenQuanYi Zen Hei"/>
        <family val="2"/>
      </rPr>
      <t xml:space="preserve">欄）</t>
    </r>
  </si>
  <si>
    <r>
      <rPr>
        <b val="true"/>
        <sz val="10"/>
        <color rgb="FF000000"/>
        <rFont val="Arial"/>
        <family val="0"/>
        <charset val="1"/>
      </rPr>
      <t xml:space="preserve">GICS </t>
    </r>
    <r>
      <rPr>
        <b val="true"/>
        <sz val="10"/>
        <color rgb="FF000000"/>
        <rFont val="WenQuanYi Zen Hei"/>
        <family val="2"/>
      </rPr>
      <t xml:space="preserve">分類變更</t>
    </r>
  </si>
  <si>
    <r>
      <rPr>
        <sz val="10"/>
        <color rgb="FF000000"/>
        <rFont val="Arial"/>
        <family val="0"/>
        <charset val="1"/>
      </rPr>
      <t xml:space="preserve">2018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GOOGL/META </t>
    </r>
    <r>
      <rPr>
        <sz val="10"/>
        <color rgb="FF000000"/>
        <rFont val="WenQuanYi Zen Hei"/>
        <family val="2"/>
      </rPr>
      <t xml:space="preserve">移入通訊；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V/MA </t>
    </r>
    <r>
      <rPr>
        <sz val="10"/>
        <color rgb="FF000000"/>
        <rFont val="WenQuanYi Zen Hei"/>
        <family val="2"/>
      </rPr>
      <t xml:space="preserve">移入金融 → 金融板塊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歷史不可比（結構性上移）。</t>
    </r>
  </si>
  <si>
    <r>
      <rPr>
        <sz val="10"/>
        <color rgb="FF000000"/>
        <rFont val="WenQuanYi Zen Hei"/>
        <family val="2"/>
      </rPr>
      <t xml:space="preserve">金融板塊 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略高於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均值部分源於此，不代表變貴</t>
    </r>
  </si>
  <si>
    <t xml:space="preserve">會計口徑</t>
  </si>
  <si>
    <r>
      <rPr>
        <sz val="10"/>
        <color rgb="FF000000"/>
        <rFont val="Arial"/>
        <family val="0"/>
        <charset val="1"/>
      </rPr>
      <t xml:space="preserve">REIT </t>
    </r>
    <r>
      <rPr>
        <sz val="10"/>
        <color rgb="FF000000"/>
        <rFont val="WenQuanYi Zen Hei"/>
        <family val="2"/>
      </rPr>
      <t xml:space="preserve">折舊、保險未實現損益、併購攤銷令 </t>
    </r>
    <r>
      <rPr>
        <sz val="10"/>
        <color rgb="FF000000"/>
        <rFont val="Arial"/>
        <family val="0"/>
        <charset val="1"/>
      </rPr>
      <t xml:space="preserve">GAAP P/E </t>
    </r>
    <r>
      <rPr>
        <sz val="10"/>
        <color rgb="FF000000"/>
        <rFont val="WenQuanYi Zen Hei"/>
        <family val="2"/>
      </rPr>
      <t xml:space="preserve">失真。</t>
    </r>
  </si>
  <si>
    <t xml:space="preserve">各行業採用專屬指標（見上表）</t>
  </si>
  <si>
    <t xml:space="preserve">結論</t>
  </si>
  <si>
    <r>
      <rPr>
        <sz val="10"/>
        <color rgb="FF000000"/>
        <rFont val="Arial"/>
        <family val="0"/>
        <charset val="1"/>
      </rPr>
      <t xml:space="preserve">FactSet </t>
    </r>
    <r>
      <rPr>
        <sz val="10"/>
        <color rgb="FF000000"/>
        <rFont val="WenQuanYi Zen Hei"/>
        <family val="2"/>
      </rPr>
      <t xml:space="preserve">板塊 </t>
    </r>
    <r>
      <rPr>
        <sz val="10"/>
        <color rgb="FF000000"/>
        <rFont val="Arial"/>
        <family val="0"/>
        <charset val="1"/>
      </rPr>
      <t xml:space="preserve">Fwd P/E </t>
    </r>
    <r>
      <rPr>
        <sz val="10"/>
        <color rgb="FF000000"/>
        <rFont val="WenQuanYi Zen Hei"/>
        <family val="2"/>
      </rPr>
      <t xml:space="preserve">適合作「首輪篩選」，不足以作買入依據；本工作簿以個股層面多方法估值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歷史分位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反向 </t>
    </r>
    <r>
      <rPr>
        <sz val="10"/>
        <color rgb="FF000000"/>
        <rFont val="Arial"/>
        <family val="0"/>
        <charset val="1"/>
      </rPr>
      <t xml:space="preserve">DCF </t>
    </r>
    <r>
      <rPr>
        <sz val="10"/>
        <color rgb="FF000000"/>
        <rFont val="WenQuanYi Zen Hei"/>
        <family val="2"/>
      </rPr>
      <t xml:space="preserve">交叉驗證。</t>
    </r>
  </si>
  <si>
    <r>
      <rPr>
        <b val="true"/>
        <sz val="16"/>
        <color rgb="FF1F3864"/>
        <rFont val="WenQuanYi Zen Hei"/>
        <family val="2"/>
      </rPr>
      <t xml:space="preserve">板塊內部競爭方式 </t>
    </r>
    <r>
      <rPr>
        <b val="true"/>
        <sz val="16"/>
        <color rgb="FF1F3864"/>
        <rFont val="Arial"/>
        <family val="0"/>
        <charset val="1"/>
      </rPr>
      <t xml:space="preserve">&amp; </t>
    </r>
    <r>
      <rPr>
        <b val="true"/>
        <sz val="16"/>
        <color rgb="FF1F3864"/>
        <rFont val="WenQuanYi Zen Hei"/>
        <family val="2"/>
      </rPr>
      <t xml:space="preserve">護城河來源</t>
    </r>
  </si>
  <si>
    <r>
      <rPr>
        <i val="true"/>
        <sz val="8"/>
        <color rgb="FF595959"/>
        <rFont val="WenQuanYi Zen Hei"/>
        <family val="2"/>
      </rPr>
      <t xml:space="preserve">分析師判斷 </t>
    </r>
    <r>
      <rPr>
        <i val="true"/>
        <sz val="8"/>
        <color rgb="FF595959"/>
        <rFont val="Arial"/>
        <family val="0"/>
        <charset val="1"/>
      </rPr>
      <t xml:space="preserve">+ </t>
    </r>
    <r>
      <rPr>
        <i val="true"/>
        <sz val="8"/>
        <color rgb="FF595959"/>
        <rFont val="WenQuanYi Zen Hei"/>
        <family val="2"/>
      </rPr>
      <t xml:space="preserve">公司公開資料；市值為 </t>
    </r>
    <r>
      <rPr>
        <i val="true"/>
        <sz val="8"/>
        <color rgb="FF595959"/>
        <rFont val="Arial"/>
        <family val="0"/>
        <charset val="1"/>
      </rPr>
      <t xml:space="preserve">LongBridge 2026-10-09</t>
    </r>
    <r>
      <rPr>
        <i val="true"/>
        <sz val="8"/>
        <color rgb="FF595959"/>
        <rFont val="WenQuanYi Zen Hei"/>
        <family val="2"/>
      </rPr>
      <t xml:space="preserve">。</t>
    </r>
  </si>
  <si>
    <t xml:space="preserve">競爭方式（靠什麼贏）</t>
  </si>
  <si>
    <r>
      <rPr>
        <b val="true"/>
        <sz val="10"/>
        <color rgb="FFFFFFFF"/>
        <rFont val="WenQuanYi Zen Hei"/>
        <family val="2"/>
      </rPr>
      <t xml:space="preserve">集中度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格局</t>
    </r>
  </si>
  <si>
    <r>
      <rPr>
        <b val="true"/>
        <sz val="10"/>
        <color rgb="FFFFFFFF"/>
        <rFont val="WenQuanYi Zen Hei"/>
        <family val="2"/>
      </rPr>
      <t xml:space="preserve">市值前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$B</t>
    </r>
    <r>
      <rPr>
        <b val="true"/>
        <sz val="10"/>
        <color rgb="FFFFFFFF"/>
        <rFont val="WenQuanYi Zen Hei"/>
        <family val="2"/>
      </rPr>
      <t xml:space="preserve">）</t>
    </r>
  </si>
  <si>
    <r>
      <rPr>
        <b val="true"/>
        <sz val="10"/>
        <color rgb="FFFFFFFF"/>
        <rFont val="WenQuanYi Zen Hei"/>
        <family val="2"/>
      </rPr>
      <t xml:space="preserve">護城河來源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WenQuanYi Zen Hei"/>
        <family val="2"/>
      </rPr>
      <t xml:space="preserve">龍頭優勢</t>
    </r>
  </si>
  <si>
    <t xml:space="preserve">金融—銀行</t>
  </si>
  <si>
    <r>
      <rPr>
        <sz val="10"/>
        <color rgb="FF000000"/>
        <rFont val="WenQuanYi Zen Hei"/>
        <family val="2"/>
      </rPr>
      <t xml:space="preserve">存款成本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低成本存款基礎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、規模攤薄科技投入</t>
    </r>
    <r>
      <rPr>
        <sz val="10"/>
        <color rgb="FF000000"/>
        <rFont val="Arial"/>
        <family val="0"/>
        <charset val="1"/>
      </rPr>
      <t xml:space="preserve">(JPM </t>
    </r>
    <r>
      <rPr>
        <sz val="10"/>
        <color rgb="FF000000"/>
        <rFont val="WenQuanYi Zen Hei"/>
        <family val="2"/>
      </rPr>
      <t xml:space="preserve">年科技支出</t>
    </r>
    <r>
      <rPr>
        <sz val="10"/>
        <color rgb="FF000000"/>
        <rFont val="Arial"/>
        <family val="0"/>
        <charset val="1"/>
      </rPr>
      <t xml:space="preserve">~$18B)</t>
    </r>
    <r>
      <rPr>
        <sz val="10"/>
        <color rgb="FF000000"/>
        <rFont val="WenQuanYi Zen Hei"/>
        <family val="2"/>
      </rPr>
      <t xml:space="preserve">、監管資本作門檻、交叉銷售</t>
    </r>
  </si>
  <si>
    <r>
      <rPr>
        <sz val="10"/>
        <color rgb="FF000000"/>
        <rFont val="WenQuanYi Zen Hei"/>
        <family val="2"/>
      </rPr>
      <t xml:space="preserve">寡頭化：前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大銀行佔美國存款約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成；大而不倒隱性擔保</t>
    </r>
  </si>
  <si>
    <t xml:space="preserve">BRK 1,112 / JPM 885 / V 742</t>
  </si>
  <si>
    <r>
      <rPr>
        <sz val="10"/>
        <color rgb="FF000000"/>
        <rFont val="Arial"/>
        <family val="0"/>
        <charset val="1"/>
      </rPr>
      <t xml:space="preserve">JPM</t>
    </r>
    <r>
      <rPr>
        <sz val="10"/>
        <color rgb="FF000000"/>
        <rFont val="WenQuanYi Zen Hei"/>
        <family val="2"/>
      </rPr>
      <t xml:space="preserve">：全業務線前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、資產負債表堡壘、</t>
    </r>
    <r>
      <rPr>
        <sz val="10"/>
        <color rgb="FF000000"/>
        <rFont val="Arial"/>
        <family val="0"/>
        <charset val="1"/>
      </rPr>
      <t xml:space="preserve">ROE 16–18%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</t>
    </r>
    <r>
      <rPr>
        <sz val="10"/>
        <color rgb="FF000000"/>
        <rFont val="WenQuanYi Zen Hei"/>
        <family val="2"/>
      </rPr>
      <t xml:space="preserve">：雙邊網絡效應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持卡人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商戶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MA </t>
    </r>
    <r>
      <rPr>
        <sz val="10"/>
        <color rgb="FF000000"/>
        <rFont val="WenQuanYi Zen Hei"/>
        <family val="2"/>
      </rPr>
      <t xml:space="preserve">形成雙寡頭；</t>
    </r>
    <r>
      <rPr>
        <sz val="10"/>
        <color rgb="FF000000"/>
        <rFont val="Arial"/>
        <family val="0"/>
        <charset val="1"/>
      </rPr>
      <t xml:space="preserve">BRK</t>
    </r>
    <r>
      <rPr>
        <sz val="10"/>
        <color rgb="FF000000"/>
        <rFont val="WenQuanYi Zen Hei"/>
        <family val="2"/>
      </rPr>
      <t xml:space="preserve">：低成本浮存金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永久資本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收購對象首選買家</t>
    </r>
  </si>
  <si>
    <t xml:space="preserve">金融—支付</t>
  </si>
  <si>
    <r>
      <rPr>
        <sz val="10"/>
        <color rgb="FF000000"/>
        <rFont val="WenQuanYi Zen Hei"/>
        <family val="2"/>
      </rPr>
      <t xml:space="preserve">網絡效應、受理覆蓋、品牌信任、安全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風控；新威脅：穩定幣、</t>
    </r>
    <r>
      <rPr>
        <sz val="10"/>
        <color rgb="FF000000"/>
        <rFont val="Arial"/>
        <family val="0"/>
        <charset val="1"/>
      </rPr>
      <t xml:space="preserve">A2A </t>
    </r>
    <r>
      <rPr>
        <sz val="10"/>
        <color rgb="FF000000"/>
        <rFont val="WenQuanYi Zen Hei"/>
        <family val="2"/>
      </rPr>
      <t xml:space="preserve">即時支付、</t>
    </r>
    <r>
      <rPr>
        <sz val="10"/>
        <color rgb="FF000000"/>
        <rFont val="Arial"/>
        <family val="0"/>
        <charset val="1"/>
      </rPr>
      <t xml:space="preserve">CCCA </t>
    </r>
    <r>
      <rPr>
        <sz val="10"/>
        <color rgb="FF000000"/>
        <rFont val="WenQuanYi Zen Hei"/>
        <family val="2"/>
      </rPr>
      <t xml:space="preserve">法案</t>
    </r>
  </si>
  <si>
    <r>
      <rPr>
        <sz val="10"/>
        <color rgb="FF000000"/>
        <rFont val="Arial"/>
        <family val="0"/>
        <charset val="1"/>
      </rPr>
      <t xml:space="preserve">V/MA </t>
    </r>
    <r>
      <rPr>
        <sz val="10"/>
        <color rgb="FF000000"/>
        <rFont val="WenQuanYi Zen Hei"/>
        <family val="2"/>
      </rPr>
      <t xml:space="preserve">雙寡頭（</t>
    </r>
    <r>
      <rPr>
        <sz val="10"/>
        <color rgb="FF000000"/>
        <rFont val="Arial"/>
        <family val="0"/>
        <charset val="1"/>
      </rPr>
      <t xml:space="preserve">Amex/Discover </t>
    </r>
    <r>
      <rPr>
        <sz val="10"/>
        <color rgb="FF000000"/>
        <rFont val="WenQuanYi Zen Hei"/>
        <family val="2"/>
      </rPr>
      <t xml:space="preserve">次之）</t>
    </r>
  </si>
  <si>
    <t xml:space="preserve">V 742 / MA 516</t>
  </si>
  <si>
    <r>
      <rPr>
        <sz val="10"/>
        <color rgb="FF000000"/>
        <rFont val="WenQuanYi Zen Hei"/>
        <family val="2"/>
      </rPr>
      <t xml:space="preserve">邊際成本近零、毛利 </t>
    </r>
    <r>
      <rPr>
        <sz val="10"/>
        <color rgb="FF000000"/>
        <rFont val="Arial"/>
        <family val="0"/>
        <charset val="1"/>
      </rPr>
      <t xml:space="preserve">97.8%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ROE &gt;50%</t>
    </r>
  </si>
  <si>
    <t xml:space="preserve">公用事業—受監管</t>
  </si>
  <si>
    <r>
      <rPr>
        <sz val="10"/>
        <color rgb="FF000000"/>
        <rFont val="WenQuanYi Zen Hei"/>
        <family val="2"/>
      </rPr>
      <t xml:space="preserve">不爭客戶，爭「費率基礎增長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監管關係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資本成本」；大型負荷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數據中心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合約成新戰場</t>
    </r>
  </si>
  <si>
    <t xml:space="preserve">地區性壟斷</t>
  </si>
  <si>
    <t xml:space="preserve">NEE 161 / CEG 106 / SO 99</t>
  </si>
  <si>
    <r>
      <rPr>
        <sz val="10"/>
        <color rgb="FF000000"/>
        <rFont val="Arial"/>
        <family val="0"/>
        <charset val="1"/>
      </rPr>
      <t xml:space="preserve">NEE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FPL </t>
    </r>
    <r>
      <rPr>
        <sz val="10"/>
        <color rgb="FF000000"/>
        <rFont val="WenQuanYi Zen Hei"/>
        <family val="2"/>
      </rPr>
      <t xml:space="preserve">最優營運效率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全美最大再生能源開發商；</t>
    </r>
    <r>
      <rPr>
        <sz val="10"/>
        <color rgb="FF000000"/>
        <rFont val="Arial"/>
        <family val="0"/>
        <charset val="1"/>
      </rPr>
      <t xml:space="preserve">SO</t>
    </r>
    <r>
      <rPr>
        <sz val="10"/>
        <color rgb="FF000000"/>
        <rFont val="WenQuanYi Zen Hei"/>
        <family val="2"/>
      </rPr>
      <t xml:space="preserve">：東南部 </t>
    </r>
    <r>
      <rPr>
        <sz val="10"/>
        <color rgb="FF000000"/>
        <rFont val="Arial"/>
        <family val="0"/>
        <charset val="1"/>
      </rPr>
      <t xml:space="preserve">17GW </t>
    </r>
    <r>
      <rPr>
        <sz val="10"/>
        <color rgb="FF000000"/>
        <rFont val="WenQuanYi Zen Hei"/>
        <family val="2"/>
      </rPr>
      <t xml:space="preserve">大型負荷合約（含 </t>
    </r>
    <r>
      <rPr>
        <sz val="10"/>
        <color rgb="FF000000"/>
        <rFont val="Arial"/>
        <family val="0"/>
        <charset val="1"/>
      </rPr>
      <t xml:space="preserve">OpenAI 3.2GW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CEG</t>
    </r>
    <r>
      <rPr>
        <sz val="10"/>
        <color rgb="FF000000"/>
        <rFont val="WenQuanYi Zen Hei"/>
        <family val="2"/>
      </rPr>
      <t xml:space="preserve">：全美最大核電機組群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稀缺零碳基載</t>
    </r>
    <r>
      <rPr>
        <sz val="10"/>
        <color rgb="FF000000"/>
        <rFont val="Arial"/>
        <family val="0"/>
        <charset val="1"/>
      </rPr>
      <t xml:space="preserve">)</t>
    </r>
  </si>
  <si>
    <t xml:space="preserve">公用事業—獨立發電</t>
  </si>
  <si>
    <r>
      <rPr>
        <sz val="10"/>
        <color rgb="FF000000"/>
        <rFont val="WenQuanYi Zen Hei"/>
        <family val="2"/>
      </rPr>
      <t xml:space="preserve">發電成本曲線位置、核電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燃氣稀缺性、與超大規模雲廠商的長期 </t>
    </r>
    <r>
      <rPr>
        <sz val="10"/>
        <color rgb="FF000000"/>
        <rFont val="Arial"/>
        <family val="0"/>
        <charset val="1"/>
      </rPr>
      <t xml:space="preserve">PPA</t>
    </r>
  </si>
  <si>
    <r>
      <rPr>
        <sz val="10"/>
        <color rgb="FF000000"/>
        <rFont val="WenQuanYi Zen Hei"/>
        <family val="2"/>
      </rPr>
      <t xml:space="preserve">分散，但核電高度集中於 </t>
    </r>
    <r>
      <rPr>
        <sz val="10"/>
        <color rgb="FF000000"/>
        <rFont val="Arial"/>
        <family val="0"/>
        <charset val="1"/>
      </rPr>
      <t xml:space="preserve">CEG/VST</t>
    </r>
  </si>
  <si>
    <t xml:space="preserve">CEG 106 / VST 54</t>
  </si>
  <si>
    <t xml:space="preserve">核電執照與既有站點不可複製</t>
  </si>
  <si>
    <r>
      <rPr>
        <sz val="10"/>
        <color rgb="FF000000"/>
        <rFont val="WenQuanYi Zen Hei"/>
        <family val="2"/>
      </rPr>
      <t xml:space="preserve">房地產—</t>
    </r>
    <r>
      <rPr>
        <sz val="10"/>
        <color rgb="FF000000"/>
        <rFont val="Arial"/>
        <family val="0"/>
        <charset val="1"/>
      </rPr>
      <t xml:space="preserve">REITs</t>
    </r>
  </si>
  <si>
    <r>
      <rPr>
        <sz val="10"/>
        <color rgb="FF000000"/>
        <rFont val="WenQuanYi Zen Hei"/>
        <family val="2"/>
      </rPr>
      <t xml:space="preserve">地段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規模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資本成本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營運平台；數據中心看電力與互聯生態</t>
    </r>
  </si>
  <si>
    <r>
      <rPr>
        <sz val="10"/>
        <color rgb="FF000000"/>
        <rFont val="WenQuanYi Zen Hei"/>
        <family val="2"/>
      </rPr>
      <t xml:space="preserve">子行業內寡頭（物流 </t>
    </r>
    <r>
      <rPr>
        <sz val="10"/>
        <color rgb="FF000000"/>
        <rFont val="Arial"/>
        <family val="0"/>
        <charset val="1"/>
      </rPr>
      <t xml:space="preserve">PLD</t>
    </r>
    <r>
      <rPr>
        <sz val="10"/>
        <color rgb="FF000000"/>
        <rFont val="WenQuanYi Zen Hei"/>
        <family val="2"/>
      </rPr>
      <t xml:space="preserve">、數據中心 </t>
    </r>
    <r>
      <rPr>
        <sz val="10"/>
        <color rgb="FF000000"/>
        <rFont val="Arial"/>
        <family val="0"/>
        <charset val="1"/>
      </rPr>
      <t xml:space="preserve">EQIX/DLR</t>
    </r>
    <r>
      <rPr>
        <sz val="10"/>
        <color rgb="FF000000"/>
        <rFont val="WenQuanYi Zen Hei"/>
        <family val="2"/>
      </rPr>
      <t xml:space="preserve">、醫療 </t>
    </r>
    <r>
      <rPr>
        <sz val="10"/>
        <color rgb="FF000000"/>
        <rFont val="Arial"/>
        <family val="0"/>
        <charset val="1"/>
      </rPr>
      <t xml:space="preserve">WELL/VTR</t>
    </r>
    <r>
      <rPr>
        <sz val="10"/>
        <color rgb="FF000000"/>
        <rFont val="WenQuanYi Zen Hei"/>
        <family val="2"/>
      </rPr>
      <t xml:space="preserve">）</t>
    </r>
  </si>
  <si>
    <t xml:space="preserve">WELL 163 / PLD 121 / EQIX 101</t>
  </si>
  <si>
    <r>
      <rPr>
        <sz val="10"/>
        <color rgb="FF000000"/>
        <rFont val="Arial"/>
        <family val="0"/>
        <charset val="1"/>
      </rPr>
      <t xml:space="preserve">PLD</t>
    </r>
    <r>
      <rPr>
        <sz val="10"/>
        <color rgb="FF000000"/>
        <rFont val="WenQuanYi Zen Hei"/>
        <family val="2"/>
      </rPr>
      <t xml:space="preserve">：全球物流 </t>
    </r>
    <r>
      <rPr>
        <sz val="10"/>
        <color rgb="FF000000"/>
        <rFont val="Arial"/>
        <family val="0"/>
        <charset val="1"/>
      </rPr>
      <t xml:space="preserve">~12 </t>
    </r>
    <r>
      <rPr>
        <sz val="10"/>
        <color rgb="FF000000"/>
        <rFont val="WenQuanYi Zen Hei"/>
        <family val="2"/>
      </rPr>
      <t xml:space="preserve">億平方呎、客戶網絡、數據中心電力管線 </t>
    </r>
    <r>
      <rPr>
        <sz val="10"/>
        <color rgb="FF000000"/>
        <rFont val="Arial"/>
        <family val="0"/>
        <charset val="1"/>
      </rPr>
      <t xml:space="preserve">5.8GW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EQIX</t>
    </r>
    <r>
      <rPr>
        <sz val="10"/>
        <color rgb="FF000000"/>
        <rFont val="WenQuanYi Zen Hei"/>
        <family val="2"/>
      </rPr>
      <t xml:space="preserve">：互聯網絡效應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客戶間直連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WELL</t>
    </r>
    <r>
      <rPr>
        <sz val="10"/>
        <color rgb="FF000000"/>
        <rFont val="WenQuanYi Zen Hei"/>
        <family val="2"/>
      </rPr>
      <t xml:space="preserve">：長者住宅數據化營運平台、</t>
    </r>
    <r>
      <rPr>
        <sz val="10"/>
        <color rgb="FF000000"/>
        <rFont val="Arial"/>
        <family val="0"/>
        <charset val="1"/>
      </rPr>
      <t xml:space="preserve">SHO </t>
    </r>
    <r>
      <rPr>
        <sz val="10"/>
        <color rgb="FF000000"/>
        <rFont val="WenQuanYi Zen Hei"/>
        <family val="2"/>
      </rPr>
      <t xml:space="preserve">同店 </t>
    </r>
    <r>
      <rPr>
        <sz val="10"/>
        <color rgb="FF000000"/>
        <rFont val="Arial"/>
        <family val="0"/>
        <charset val="1"/>
      </rPr>
      <t xml:space="preserve">NOI +20.5%</t>
    </r>
  </si>
  <si>
    <t xml:space="preserve">原材料—工業氣體</t>
  </si>
  <si>
    <r>
      <rPr>
        <sz val="10"/>
        <color rgb="FF000000"/>
        <rFont val="WenQuanYi Zen Hei"/>
        <family val="2"/>
      </rPr>
      <t xml:space="preserve">現場製氣長約</t>
    </r>
    <r>
      <rPr>
        <sz val="10"/>
        <color rgb="FF000000"/>
        <rFont val="Arial"/>
        <family val="0"/>
        <charset val="1"/>
      </rPr>
      <t xml:space="preserve">(15–20 </t>
    </r>
    <r>
      <rPr>
        <sz val="10"/>
        <color rgb="FF000000"/>
        <rFont val="WenQuanYi Zen Hei"/>
        <family val="2"/>
      </rPr>
      <t xml:space="preserve">年照付不議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、管道網絡區域密度、轉換成本高</t>
    </r>
  </si>
  <si>
    <r>
      <rPr>
        <sz val="10"/>
        <color rgb="FF000000"/>
        <rFont val="WenQuanYi Zen Hei"/>
        <family val="2"/>
      </rPr>
      <t xml:space="preserve">三寡頭：</t>
    </r>
    <r>
      <rPr>
        <sz val="10"/>
        <color rgb="FF000000"/>
        <rFont val="Arial"/>
        <family val="0"/>
        <charset val="1"/>
      </rPr>
      <t xml:space="preserve">Linde / Air Liquide / Air Products</t>
    </r>
  </si>
  <si>
    <t xml:space="preserve">LIN 223</t>
  </si>
  <si>
    <r>
      <rPr>
        <sz val="10"/>
        <color rgb="FF000000"/>
        <rFont val="Arial"/>
        <family val="0"/>
        <charset val="1"/>
      </rPr>
      <t xml:space="preserve">LIN</t>
    </r>
    <r>
      <rPr>
        <sz val="10"/>
        <color rgb="FF000000"/>
        <rFont val="WenQuanYi Zen Hei"/>
        <family val="2"/>
      </rPr>
      <t xml:space="preserve">：區域密度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合約 </t>
    </r>
    <r>
      <rPr>
        <sz val="10"/>
        <color rgb="FF000000"/>
        <rFont val="Arial"/>
        <family val="0"/>
        <charset val="1"/>
      </rPr>
      <t xml:space="preserve">backlog $11B + </t>
    </r>
    <r>
      <rPr>
        <sz val="10"/>
        <color rgb="FF000000"/>
        <rFont val="WenQuanYi Zen Hei"/>
        <family val="2"/>
      </rPr>
      <t xml:space="preserve">電子特氣；定價權可傳導通脹</t>
    </r>
  </si>
  <si>
    <t xml:space="preserve">原材料—金屬礦業</t>
  </si>
  <si>
    <r>
      <rPr>
        <sz val="10"/>
        <color rgb="FF000000"/>
        <rFont val="WenQuanYi Zen Hei"/>
        <family val="2"/>
      </rPr>
      <t xml:space="preserve">成本曲線位置</t>
    </r>
    <r>
      <rPr>
        <sz val="10"/>
        <color rgb="FF000000"/>
        <rFont val="Arial"/>
        <family val="0"/>
        <charset val="1"/>
      </rPr>
      <t xml:space="preserve">(AISC </t>
    </r>
    <r>
      <rPr>
        <sz val="10"/>
        <color rgb="FF000000"/>
        <rFont val="WenQuanYi Zen Hei"/>
        <family val="2"/>
      </rPr>
      <t xml:space="preserve">分位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、儲量壽命、司法管轄區風險；無定價權</t>
    </r>
  </si>
  <si>
    <t xml:space="preserve">分散；價格接受者</t>
  </si>
  <si>
    <t xml:space="preserve">NEM 124 / FCX 106</t>
  </si>
  <si>
    <r>
      <rPr>
        <sz val="10"/>
        <color rgb="FF000000"/>
        <rFont val="Arial"/>
        <family val="0"/>
        <charset val="1"/>
      </rPr>
      <t xml:space="preserve">NEM</t>
    </r>
    <r>
      <rPr>
        <sz val="10"/>
        <color rgb="FF000000"/>
        <rFont val="WenQuanYi Zen Hei"/>
        <family val="2"/>
      </rPr>
      <t xml:space="preserve">：全球最大金礦商、</t>
    </r>
    <r>
      <rPr>
        <sz val="10"/>
        <color rgb="FF000000"/>
        <rFont val="Arial"/>
        <family val="0"/>
        <charset val="1"/>
      </rPr>
      <t xml:space="preserve">AISC $1,621/oz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FCX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Grasberg/</t>
    </r>
    <r>
      <rPr>
        <sz val="10"/>
        <color rgb="FF000000"/>
        <rFont val="WenQuanYi Zen Hei"/>
        <family val="2"/>
      </rPr>
      <t xml:space="preserve">美洲一級銅礦，但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泥石流事故後產能 </t>
    </r>
    <r>
      <rPr>
        <sz val="10"/>
        <color rgb="FF000000"/>
        <rFont val="Arial"/>
        <family val="0"/>
        <charset val="1"/>
      </rPr>
      <t xml:space="preserve">65%→2027 </t>
    </r>
    <r>
      <rPr>
        <sz val="10"/>
        <color rgb="FF000000"/>
        <rFont val="WenQuanYi Zen Hei"/>
        <family val="2"/>
      </rPr>
      <t xml:space="preserve">年底恢復</t>
    </r>
  </si>
  <si>
    <t xml:space="preserve">對照—能源</t>
  </si>
  <si>
    <t xml:space="preserve">上游成本、儲量、資本紀律；下游煉油價差</t>
  </si>
  <si>
    <r>
      <rPr>
        <sz val="10"/>
        <color rgb="FF000000"/>
        <rFont val="Arial"/>
        <family val="0"/>
        <charset val="1"/>
      </rPr>
      <t xml:space="preserve">XOM/CVX </t>
    </r>
    <r>
      <rPr>
        <sz val="10"/>
        <color rgb="FF000000"/>
        <rFont val="WenQuanYi Zen Hei"/>
        <family val="2"/>
      </rPr>
      <t xml:space="preserve">寡頭</t>
    </r>
  </si>
  <si>
    <t xml:space="preserve">XOM 695 / CVX 419</t>
  </si>
  <si>
    <t xml:space="preserve">週期性強；本輪不深挖（盈利頂部）</t>
  </si>
  <si>
    <r>
      <rPr>
        <b val="true"/>
        <sz val="16"/>
        <color rgb="FF1F3864"/>
        <rFont val="WenQuanYi Zen Hei"/>
        <family val="2"/>
      </rPr>
      <t xml:space="preserve">宏觀儀表板 </t>
    </r>
    <r>
      <rPr>
        <b val="true"/>
        <sz val="16"/>
        <color rgb="FF1F3864"/>
        <rFont val="Arial"/>
        <family val="0"/>
        <charset val="1"/>
      </rPr>
      <t xml:space="preserve">&amp; </t>
    </r>
    <r>
      <rPr>
        <b val="true"/>
        <sz val="16"/>
        <color rgb="FF1F3864"/>
        <rFont val="WenQuanYi Zen Hei"/>
        <family val="2"/>
      </rPr>
      <t xml:space="preserve">個股宏觀敏感度</t>
    </r>
  </si>
  <si>
    <r>
      <rPr>
        <i val="true"/>
        <sz val="8"/>
        <color rgb="FF595959"/>
        <rFont val="WenQuanYi Zen Hei"/>
        <family val="2"/>
      </rPr>
      <t xml:space="preserve">來源：</t>
    </r>
    <r>
      <rPr>
        <i val="true"/>
        <sz val="8"/>
        <color rgb="FF595959"/>
        <rFont val="Arial"/>
        <family val="0"/>
        <charset val="1"/>
      </rPr>
      <t xml:space="preserve">LongBridge macrodata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CPI</t>
    </r>
    <r>
      <rPr>
        <i val="true"/>
        <sz val="8"/>
        <color rgb="FF595959"/>
        <rFont val="WenQuanYi Zen Hei"/>
        <family val="2"/>
      </rPr>
      <t xml:space="preserve">、失業率）；</t>
    </r>
    <r>
      <rPr>
        <i val="true"/>
        <sz val="8"/>
        <color rgb="FF595959"/>
        <rFont val="Arial"/>
        <family val="0"/>
        <charset val="1"/>
      </rPr>
      <t xml:space="preserve">CNBC/Fed</t>
    </r>
    <r>
      <rPr>
        <i val="true"/>
        <sz val="8"/>
        <color rgb="FF595959"/>
        <rFont val="WenQuanYi Zen Hei"/>
        <family val="2"/>
      </rPr>
      <t xml:space="preserve">（政策利率）；</t>
    </r>
    <r>
      <rPr>
        <i val="true"/>
        <sz val="8"/>
        <color rgb="FF595959"/>
        <rFont val="Arial"/>
        <family val="0"/>
        <charset val="1"/>
      </rPr>
      <t xml:space="preserve">FactSet</t>
    </r>
    <r>
      <rPr>
        <i val="true"/>
        <sz val="8"/>
        <color rgb="FF595959"/>
        <rFont val="WenQuanYi Zen Hei"/>
        <family val="2"/>
      </rPr>
      <t xml:space="preserve">（油價、盈利）；</t>
    </r>
    <r>
      <rPr>
        <i val="true"/>
        <sz val="8"/>
        <color rgb="FF595959"/>
        <rFont val="Arial"/>
        <family val="0"/>
        <charset val="1"/>
      </rPr>
      <t xml:space="preserve">Webull/FCX</t>
    </r>
    <r>
      <rPr>
        <i val="true"/>
        <sz val="8"/>
        <color rgb="FF595959"/>
        <rFont val="WenQuanYi Zen Hei"/>
        <family val="2"/>
      </rPr>
      <t xml:space="preserve">（金價）。黃底</t>
    </r>
    <r>
      <rPr>
        <i val="true"/>
        <sz val="8"/>
        <color rgb="FF595959"/>
        <rFont val="Arial"/>
        <family val="0"/>
        <charset val="1"/>
      </rPr>
      <t xml:space="preserve">=</t>
    </r>
    <r>
      <rPr>
        <i val="true"/>
        <sz val="8"/>
        <color rgb="FF595959"/>
        <rFont val="WenQuanYi Zen Hei"/>
        <family val="2"/>
      </rPr>
      <t xml:space="preserve">可調關鍵假設。</t>
    </r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</si>
  <si>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WenQuanYi Zen Hei"/>
        <family val="2"/>
      </rPr>
      <t xml:space="preserve">關鍵宏觀指標</t>
    </r>
  </si>
  <si>
    <t xml:space="preserve">指標</t>
  </si>
  <si>
    <t xml:space="preserve">最新期</t>
  </si>
  <si>
    <t xml:space="preserve">數值</t>
  </si>
  <si>
    <t xml:space="preserve">前值</t>
  </si>
  <si>
    <t xml:space="preserve">趨勢</t>
  </si>
  <si>
    <t xml:space="preserve">來源</t>
  </si>
  <si>
    <r>
      <rPr>
        <sz val="10"/>
        <color rgb="FF000000"/>
        <rFont val="Arial"/>
        <family val="0"/>
        <charset val="1"/>
      </rPr>
      <t xml:space="preserve">CPI </t>
    </r>
    <r>
      <rPr>
        <sz val="10"/>
        <color rgb="FF000000"/>
        <rFont val="WenQuanYi Zen Hei"/>
        <family val="2"/>
      </rPr>
      <t xml:space="preserve">同比 </t>
    </r>
    <r>
      <rPr>
        <sz val="10"/>
        <color rgb="FF000000"/>
        <rFont val="Arial"/>
        <family val="0"/>
        <charset val="1"/>
      </rPr>
      <t xml:space="preserve">(%)</t>
    </r>
  </si>
  <si>
    <t xml:space="preserve">2026-08</t>
  </si>
  <si>
    <r>
      <rPr>
        <sz val="10"/>
        <color rgb="FF000000"/>
        <rFont val="WenQuanYi Zen Hei"/>
        <family val="2"/>
      </rPr>
      <t xml:space="preserve">高位橫行（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月峰值 </t>
    </r>
    <r>
      <rPr>
        <sz val="10"/>
        <color rgb="FF000000"/>
        <rFont val="Arial"/>
        <family val="0"/>
        <charset val="1"/>
      </rPr>
      <t xml:space="preserve">4.2%</t>
    </r>
    <r>
      <rPr>
        <sz val="10"/>
        <color rgb="FF000000"/>
        <rFont val="WenQuanYi Zen Hei"/>
        <family val="2"/>
      </rPr>
      <t xml:space="preserve">）</t>
    </r>
  </si>
  <si>
    <t xml:space="preserve">LongBridge 30771871</t>
  </si>
  <si>
    <r>
      <rPr>
        <sz val="10"/>
        <color rgb="FF000000"/>
        <rFont val="WenQuanYi Zen Hei"/>
        <family val="2"/>
      </rPr>
      <t xml:space="preserve">核心 </t>
    </r>
    <r>
      <rPr>
        <sz val="10"/>
        <color rgb="FF000000"/>
        <rFont val="Arial"/>
        <family val="0"/>
        <charset val="1"/>
      </rPr>
      <t xml:space="preserve">CPI </t>
    </r>
    <r>
      <rPr>
        <sz val="10"/>
        <color rgb="FF000000"/>
        <rFont val="WenQuanYi Zen Hei"/>
        <family val="2"/>
      </rPr>
      <t xml:space="preserve">同比 </t>
    </r>
    <r>
      <rPr>
        <sz val="10"/>
        <color rgb="FF000000"/>
        <rFont val="Arial"/>
        <family val="0"/>
        <charset val="1"/>
      </rPr>
      <t xml:space="preserve">(%)</t>
    </r>
  </si>
  <si>
    <t xml:space="preserve">2026-05</t>
  </si>
  <si>
    <t xml:space="preserve">溫和</t>
  </si>
  <si>
    <r>
      <rPr>
        <i val="true"/>
        <sz val="8"/>
        <color rgb="FF595959"/>
        <rFont val="Arial"/>
        <family val="0"/>
        <charset val="1"/>
      </rPr>
      <t xml:space="preserve">BLS via </t>
    </r>
    <r>
      <rPr>
        <i val="true"/>
        <sz val="8"/>
        <color rgb="FF595959"/>
        <rFont val="WenQuanYi Zen Hei"/>
        <family val="2"/>
      </rPr>
      <t xml:space="preserve">媒體</t>
    </r>
  </si>
  <si>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美債殖利率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估</t>
    </r>
    <r>
      <rPr>
        <sz val="10"/>
        <color rgb="FF000000"/>
        <rFont val="Arial"/>
        <family val="0"/>
        <charset val="1"/>
      </rPr>
      <t xml:space="preserve">)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</si>
  <si>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</si>
  <si>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4.6–4.8% </t>
    </r>
    <r>
      <rPr>
        <sz val="10"/>
        <color rgb="FF000000"/>
        <rFont val="WenQuanYi Zen Hei"/>
        <family val="2"/>
      </rPr>
      <t xml:space="preserve">區間（關鍵假設）</t>
    </r>
  </si>
  <si>
    <t xml:space="preserve">Fed H.15 / YCharts (7/24 4.66%, 9/2 4.79%)</t>
  </si>
  <si>
    <t xml:space="preserve">聯邦基金利率上限</t>
  </si>
  <si>
    <t xml:space="preserve">2026-09-16</t>
  </si>
  <si>
    <r>
      <rPr>
        <sz val="10"/>
        <color rgb="FF000000"/>
        <rFont val="WenQuanYi Zen Hei"/>
        <family val="2"/>
      </rPr>
      <t xml:space="preserve">加息 </t>
    </r>
    <r>
      <rPr>
        <sz val="10"/>
        <color rgb="FF000000"/>
        <rFont val="Arial"/>
        <family val="0"/>
        <charset val="1"/>
      </rPr>
      <t xml:space="preserve">25bp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年後首次）</t>
    </r>
  </si>
  <si>
    <t xml:space="preserve">CNBC / FOMC</t>
  </si>
  <si>
    <r>
      <rPr>
        <sz val="10"/>
        <color rgb="FF000000"/>
        <rFont val="WenQuanYi Zen Hei"/>
        <family val="2"/>
      </rPr>
      <t xml:space="preserve">失業率 </t>
    </r>
    <r>
      <rPr>
        <sz val="10"/>
        <color rgb="FF000000"/>
        <rFont val="Arial"/>
        <family val="0"/>
        <charset val="1"/>
      </rPr>
      <t xml:space="preserve">(%)</t>
    </r>
  </si>
  <si>
    <r>
      <rPr>
        <sz val="10"/>
        <color rgb="FF000000"/>
        <rFont val="WenQuanYi Zen Hei"/>
        <family val="2"/>
      </rPr>
      <t xml:space="preserve">穩定（峰值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WenQuanYi Zen Hei"/>
        <family val="2"/>
      </rPr>
      <t xml:space="preserve">）</t>
    </r>
  </si>
  <si>
    <t xml:space="preserve">LongBridge 30771865</t>
  </si>
  <si>
    <r>
      <rPr>
        <sz val="10"/>
        <color rgb="FF000000"/>
        <rFont val="Arial"/>
        <family val="0"/>
        <charset val="1"/>
      </rPr>
      <t xml:space="preserve">WTI </t>
    </r>
    <r>
      <rPr>
        <sz val="10"/>
        <color rgb="FF000000"/>
        <rFont val="WenQuanYi Zen Hei"/>
        <family val="2"/>
      </rPr>
      <t xml:space="preserve">原油 </t>
    </r>
    <r>
      <rPr>
        <sz val="10"/>
        <color rgb="FF000000"/>
        <rFont val="Arial"/>
        <family val="0"/>
        <charset val="1"/>
      </rPr>
      <t xml:space="preserve">($/bbl)</t>
    </r>
  </si>
  <si>
    <t xml:space="preserve">2026-09-30</t>
  </si>
  <si>
    <r>
      <rPr>
        <sz val="10"/>
        <color rgb="FF000000"/>
        <rFont val="Arial"/>
        <family val="0"/>
        <charset val="1"/>
      </rPr>
      <t xml:space="preserve">Q3 +30%</t>
    </r>
    <r>
      <rPr>
        <sz val="10"/>
        <color rgb="FF000000"/>
        <rFont val="WenQuanYi Zen Hei"/>
        <family val="2"/>
      </rPr>
      <t xml:space="preserve">（伊朗衝突）</t>
    </r>
  </si>
  <si>
    <t xml:space="preserve">FactSet EI</t>
  </si>
  <si>
    <r>
      <rPr>
        <sz val="10"/>
        <color rgb="FF000000"/>
        <rFont val="WenQuanYi Zen Hei"/>
        <family val="2"/>
      </rPr>
      <t xml:space="preserve">金價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均價 </t>
    </r>
    <r>
      <rPr>
        <sz val="10"/>
        <color rgb="FF000000"/>
        <rFont val="Arial"/>
        <family val="0"/>
        <charset val="1"/>
      </rPr>
      <t xml:space="preserve">($/oz)</t>
    </r>
  </si>
  <si>
    <t xml:space="preserve">2026-Q2</t>
  </si>
  <si>
    <t xml:space="preserve">高位</t>
  </si>
  <si>
    <t xml:space="preserve">Webull / FCX 8-K</t>
  </si>
  <si>
    <r>
      <rPr>
        <sz val="10"/>
        <color rgb="FF000000"/>
        <rFont val="Arial"/>
        <family val="0"/>
        <charset val="1"/>
      </rPr>
      <t xml:space="preserve">S&amp;P 500 Q3 EPS </t>
    </r>
    <r>
      <rPr>
        <sz val="10"/>
        <color rgb="FF000000"/>
        <rFont val="WenQuanYi Zen Hei"/>
        <family val="2"/>
      </rPr>
      <t xml:space="preserve">增速</t>
    </r>
  </si>
  <si>
    <t xml:space="preserve">2026-Q3E</t>
  </si>
  <si>
    <t xml:space="preserve">強勁上修</t>
  </si>
  <si>
    <r>
      <rPr>
        <sz val="10"/>
        <color rgb="FF000000"/>
        <rFont val="Arial"/>
        <family val="0"/>
        <charset val="1"/>
      </rPr>
      <t xml:space="preserve">S&amp;P 500 CY27 EPS </t>
    </r>
    <r>
      <rPr>
        <sz val="10"/>
        <color rgb="FF000000"/>
        <rFont val="WenQuanYi Zen Hei"/>
        <family val="2"/>
      </rPr>
      <t xml:space="preserve">增速</t>
    </r>
  </si>
  <si>
    <t xml:space="preserve">2027E</t>
  </si>
  <si>
    <t xml:space="preserve">放緩</t>
  </si>
  <si>
    <t xml:space="preserve">S&amp;P 500 Fwd P/E</t>
  </si>
  <si>
    <t xml:space="preserve">2026-10-09</t>
  </si>
  <si>
    <r>
      <rPr>
        <sz val="10"/>
        <color rgb="FF000000"/>
        <rFont val="WenQuanYi Zen Hei"/>
        <family val="2"/>
      </rPr>
      <t xml:space="preserve">回落至 </t>
    </r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均值</t>
    </r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</si>
  <si>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WenQuanYi Zen Hei"/>
        <family val="2"/>
      </rPr>
      <t xml:space="preserve">當前宏觀體制（</t>
    </r>
    <r>
      <rPr>
        <b val="true"/>
        <sz val="11"/>
        <color rgb="FFFFFFFF"/>
        <rFont val="Arial"/>
        <family val="0"/>
        <charset val="1"/>
      </rPr>
      <t xml:space="preserve">Regime</t>
    </r>
    <r>
      <rPr>
        <b val="true"/>
        <sz val="11"/>
        <color rgb="FFFFFFFF"/>
        <rFont val="WenQuanYi Zen Hei"/>
        <family val="2"/>
      </rPr>
      <t xml:space="preserve">）— 方向權重（可調）</t>
    </r>
  </si>
  <si>
    <t xml:space="preserve">因子</t>
  </si>
  <si>
    <t xml:space="preserve">利率上行</t>
  </si>
  <si>
    <r>
      <rPr>
        <b val="true"/>
        <sz val="10"/>
        <color rgb="FFFFFFFF"/>
        <rFont val="WenQuanYi Zen Hei"/>
        <family val="2"/>
      </rPr>
      <t xml:space="preserve">通脹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油價上行</t>
    </r>
  </si>
  <si>
    <t xml:space="preserve">經濟衰退</t>
  </si>
  <si>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WenQuanYi Zen Hei"/>
        <family val="2"/>
      </rPr>
      <t xml:space="preserve">資本開支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用電</t>
    </r>
  </si>
  <si>
    <t xml:space="preserve">監管政策風險</t>
  </si>
  <si>
    <t xml:space="preserve">美元走強</t>
  </si>
  <si>
    <r>
      <rPr>
        <b val="true"/>
        <sz val="10"/>
        <color rgb="FF000000"/>
        <rFont val="WenQuanYi Zen Hei"/>
        <family val="2"/>
      </rPr>
      <t xml:space="preserve">體制強度 </t>
    </r>
    <r>
      <rPr>
        <b val="true"/>
        <sz val="10"/>
        <color rgb="FF000000"/>
        <rFont val="Arial"/>
        <family val="0"/>
        <charset val="1"/>
      </rPr>
      <t xml:space="preserve">(0–1)</t>
    </r>
  </si>
  <si>
    <t xml:space="preserve">依據</t>
  </si>
  <si>
    <r>
      <rPr>
        <i val="true"/>
        <sz val="8"/>
        <color rgb="FF595959"/>
        <rFont val="Arial"/>
        <family val="0"/>
        <charset val="1"/>
      </rPr>
      <t xml:space="preserve">Fed 9 </t>
    </r>
    <r>
      <rPr>
        <i val="true"/>
        <sz val="8"/>
        <color rgb="FF595959"/>
        <rFont val="WenQuanYi Zen Hei"/>
        <family val="2"/>
      </rPr>
      <t xml:space="preserve">月加息、點陣圖指向再加一次</t>
    </r>
  </si>
  <si>
    <r>
      <rPr>
        <i val="true"/>
        <sz val="8"/>
        <color rgb="FF595959"/>
        <rFont val="Arial"/>
        <family val="0"/>
        <charset val="1"/>
      </rPr>
      <t xml:space="preserve">CPI 3.4%</t>
    </r>
    <r>
      <rPr>
        <i val="true"/>
        <sz val="8"/>
        <color rgb="FF595959"/>
        <rFont val="WenQuanYi Zen Hei"/>
        <family val="2"/>
      </rPr>
      <t xml:space="preserve">、油價 </t>
    </r>
    <r>
      <rPr>
        <i val="true"/>
        <sz val="8"/>
        <color rgb="FF595959"/>
        <rFont val="Arial"/>
        <family val="0"/>
        <charset val="1"/>
      </rPr>
      <t xml:space="preserve">$90</t>
    </r>
  </si>
  <si>
    <r>
      <rPr>
        <i val="true"/>
        <sz val="8"/>
        <color rgb="FF595959"/>
        <rFont val="WenQuanYi Zen Hei"/>
        <family val="2"/>
      </rPr>
      <t xml:space="preserve">失業率 </t>
    </r>
    <r>
      <rPr>
        <i val="true"/>
        <sz val="8"/>
        <color rgb="FF595959"/>
        <rFont val="Arial"/>
        <family val="0"/>
        <charset val="1"/>
      </rPr>
      <t xml:space="preserve">4.2% </t>
    </r>
    <r>
      <rPr>
        <i val="true"/>
        <sz val="8"/>
        <color rgb="FF595959"/>
        <rFont val="WenQuanYi Zen Hei"/>
        <family val="2"/>
      </rPr>
      <t xml:space="preserve">穩定，概率低</t>
    </r>
  </si>
  <si>
    <r>
      <rPr>
        <i val="true"/>
        <sz val="8"/>
        <color rgb="FF595959"/>
        <rFont val="Arial"/>
        <family val="0"/>
        <charset val="1"/>
      </rPr>
      <t xml:space="preserve">Q3 IT </t>
    </r>
    <r>
      <rPr>
        <i val="true"/>
        <sz val="8"/>
        <color rgb="FF595959"/>
        <rFont val="WenQuanYi Zen Hei"/>
        <family val="2"/>
      </rPr>
      <t xml:space="preserve">盈利 </t>
    </r>
    <r>
      <rPr>
        <i val="true"/>
        <sz val="8"/>
        <color rgb="FF595959"/>
        <rFont val="Arial"/>
        <family val="0"/>
        <charset val="1"/>
      </rPr>
      <t xml:space="preserve">+65%</t>
    </r>
    <r>
      <rPr>
        <i val="true"/>
        <sz val="8"/>
        <color rgb="FF595959"/>
        <rFont val="WenQuanYi Zen Hei"/>
        <family val="2"/>
      </rPr>
      <t xml:space="preserve">、公用事業大負荷合約</t>
    </r>
  </si>
  <si>
    <r>
      <rPr>
        <i val="true"/>
        <sz val="8"/>
        <color rgb="FF595959"/>
        <rFont val="Arial"/>
        <family val="0"/>
        <charset val="1"/>
      </rPr>
      <t xml:space="preserve">CCCA</t>
    </r>
    <r>
      <rPr>
        <i val="true"/>
        <sz val="8"/>
        <color rgb="FF595959"/>
        <rFont val="WenQuanYi Zen Hei"/>
        <family val="2"/>
      </rPr>
      <t xml:space="preserve">、併購審批、關稅</t>
    </r>
  </si>
  <si>
    <t xml:space="preserve">方向不明</t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</si>
  <si>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WenQuanYi Zen Hei"/>
        <family val="2"/>
      </rPr>
      <t xml:space="preserve">個股宏觀敏感度（−</t>
    </r>
    <r>
      <rPr>
        <b val="true"/>
        <sz val="11"/>
        <color rgb="FFFFFFFF"/>
        <rFont val="Arial"/>
        <family val="0"/>
        <charset val="1"/>
      </rPr>
      <t xml:space="preserve">2 </t>
    </r>
    <r>
      <rPr>
        <b val="true"/>
        <sz val="11"/>
        <color rgb="FFFFFFFF"/>
        <rFont val="WenQuanYi Zen Hei"/>
        <family val="2"/>
      </rPr>
      <t xml:space="preserve">極負面 … </t>
    </r>
    <r>
      <rPr>
        <b val="true"/>
        <sz val="11"/>
        <color rgb="FFFFFFFF"/>
        <rFont val="Arial"/>
        <family val="0"/>
        <charset val="1"/>
      </rPr>
      <t xml:space="preserve">+2 </t>
    </r>
    <r>
      <rPr>
        <b val="true"/>
        <sz val="11"/>
        <color rgb="FFFFFFFF"/>
        <rFont val="WenQuanYi Zen Hei"/>
        <family val="2"/>
      </rPr>
      <t xml:space="preserve">極正面；分析師判斷）→ 宏觀得分 </t>
    </r>
    <r>
      <rPr>
        <b val="true"/>
        <sz val="11"/>
        <color rgb="FFFFFFFF"/>
        <rFont val="Arial"/>
        <family val="0"/>
        <charset val="1"/>
      </rPr>
      <t xml:space="preserve">= Σ </t>
    </r>
    <r>
      <rPr>
        <b val="true"/>
        <sz val="11"/>
        <color rgb="FFFFFFFF"/>
        <rFont val="WenQuanYi Zen Hei"/>
        <family val="2"/>
      </rPr>
      <t xml:space="preserve">敏感度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WenQuanYi Zen Hei"/>
        <family val="2"/>
      </rPr>
      <t xml:space="preserve">體制強度</t>
    </r>
  </si>
  <si>
    <t xml:space="preserve">宏觀得分</t>
  </si>
  <si>
    <r>
      <rPr>
        <b val="true"/>
        <sz val="10"/>
        <color rgb="FFFFFFFF"/>
        <rFont val="WenQuanYi Zen Hei"/>
        <family val="2"/>
      </rPr>
      <t xml:space="preserve">韌性分</t>
    </r>
    <r>
      <rPr>
        <b val="true"/>
        <sz val="10"/>
        <color rgb="FFFFFFFF"/>
        <rFont val="Arial"/>
        <family val="0"/>
        <charset val="1"/>
      </rPr>
      <t xml:space="preserve">(0–5)</t>
    </r>
  </si>
  <si>
    <t xml:space="preserve">主要宏觀邏輯</t>
  </si>
  <si>
    <r>
      <rPr>
        <sz val="10"/>
        <color rgb="FF000000"/>
        <rFont val="WenQuanYi Zen Hei"/>
        <family val="2"/>
      </rPr>
      <t xml:space="preserve">浮存金與 </t>
    </r>
    <r>
      <rPr>
        <sz val="10"/>
        <color rgb="FF000000"/>
        <rFont val="Arial"/>
        <family val="0"/>
        <charset val="1"/>
      </rPr>
      <t xml:space="preserve">$3,600 </t>
    </r>
    <r>
      <rPr>
        <sz val="10"/>
        <color rgb="FF000000"/>
        <rFont val="WenQuanYi Zen Hei"/>
        <family val="2"/>
      </rPr>
      <t xml:space="preserve">億現金受惠高利率；分散化抗衰退</t>
    </r>
  </si>
  <si>
    <r>
      <rPr>
        <sz val="10"/>
        <color rgb="FF000000"/>
        <rFont val="WenQuanYi Zen Hei"/>
        <family val="2"/>
      </rPr>
      <t xml:space="preserve">加息擴大 </t>
    </r>
    <r>
      <rPr>
        <sz val="10"/>
        <color rgb="FF000000"/>
        <rFont val="Arial"/>
        <family val="0"/>
        <charset val="1"/>
      </rPr>
      <t xml:space="preserve">NII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$1,055 </t>
    </r>
    <r>
      <rPr>
        <sz val="10"/>
        <color rgb="FF000000"/>
        <rFont val="WenQuanYi Zen Hei"/>
        <family val="2"/>
      </rPr>
      <t xml:space="preserve">億）；衰退時信貸成本上升</t>
    </r>
  </si>
  <si>
    <r>
      <rPr>
        <sz val="10"/>
        <color rgb="FF000000"/>
        <rFont val="WenQuanYi Zen Hei"/>
        <family val="2"/>
      </rPr>
      <t xml:space="preserve">名義消費額隨通脹上升；</t>
    </r>
    <r>
      <rPr>
        <sz val="10"/>
        <color rgb="FF000000"/>
        <rFont val="Arial"/>
        <family val="0"/>
        <charset val="1"/>
      </rPr>
      <t xml:space="preserve">CCCA/DOJ </t>
    </r>
    <r>
      <rPr>
        <sz val="10"/>
        <color rgb="FF000000"/>
        <rFont val="WenQuanYi Zen Hei"/>
        <family val="2"/>
      </rPr>
      <t xml:space="preserve">訴訟；強美元壓跨境</t>
    </r>
  </si>
  <si>
    <r>
      <rPr>
        <sz val="10"/>
        <color rgb="FF000000"/>
        <rFont val="WenQuanYi Zen Hei"/>
        <family val="2"/>
      </rPr>
      <t xml:space="preserve">重資本、高負債最怕加息；</t>
    </r>
    <r>
      <rPr>
        <sz val="10"/>
        <color rgb="FF000000"/>
        <rFont val="Arial"/>
        <family val="0"/>
        <charset val="1"/>
      </rPr>
      <t xml:space="preserve">Dominion </t>
    </r>
    <r>
      <rPr>
        <sz val="10"/>
        <color rgb="FF000000"/>
        <rFont val="WenQuanYi Zen Hei"/>
        <family val="2"/>
      </rPr>
      <t xml:space="preserve">併購審批；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用電長期利好</t>
    </r>
  </si>
  <si>
    <t xml:space="preserve">CEG</t>
  </si>
  <si>
    <r>
      <rPr>
        <sz val="10"/>
        <color rgb="FF000000"/>
        <rFont val="WenQuanYi Zen Hei"/>
        <family val="2"/>
      </rPr>
      <t xml:space="preserve">電價上行與數據中心 </t>
    </r>
    <r>
      <rPr>
        <sz val="10"/>
        <color rgb="FF000000"/>
        <rFont val="Arial"/>
        <family val="0"/>
        <charset val="1"/>
      </rPr>
      <t xml:space="preserve">PPA </t>
    </r>
    <r>
      <rPr>
        <sz val="10"/>
        <color rgb="FF000000"/>
        <rFont val="WenQuanYi Zen Hei"/>
        <family val="2"/>
      </rPr>
      <t xml:space="preserve">利好；併購 </t>
    </r>
    <r>
      <rPr>
        <sz val="10"/>
        <color rgb="FF000000"/>
        <rFont val="Arial"/>
        <family val="0"/>
        <charset val="1"/>
      </rPr>
      <t xml:space="preserve">Calpine </t>
    </r>
    <r>
      <rPr>
        <sz val="10"/>
        <color rgb="FF000000"/>
        <rFont val="WenQuanYi Zen Hei"/>
        <family val="2"/>
      </rPr>
      <t xml:space="preserve">增加商品價格暴露</t>
    </r>
  </si>
  <si>
    <t xml:space="preserve">SO</t>
  </si>
  <si>
    <r>
      <rPr>
        <sz val="10"/>
        <color rgb="FF000000"/>
        <rFont val="Arial"/>
        <family val="0"/>
        <charset val="1"/>
      </rPr>
      <t xml:space="preserve">17GW </t>
    </r>
    <r>
      <rPr>
        <sz val="10"/>
        <color rgb="FF000000"/>
        <rFont val="WenQuanYi Zen Hei"/>
        <family val="2"/>
      </rPr>
      <t xml:space="preserve">大型負荷合約鎖定增長；受監管回報抵禦衰退</t>
    </r>
  </si>
  <si>
    <t xml:space="preserve">WELL</t>
  </si>
  <si>
    <t xml:space="preserve">人口老化需求剛性；高估值對利率敏感</t>
  </si>
  <si>
    <r>
      <rPr>
        <sz val="10"/>
        <color rgb="FF000000"/>
        <rFont val="WenQuanYi Zen Hei"/>
        <family val="2"/>
      </rPr>
      <t xml:space="preserve">租金可隨通脹調升；關稅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貿易量風險；數據中心轉型</t>
    </r>
  </si>
  <si>
    <t xml:space="preserve">EQIX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</si>
  <si>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推理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互聯需求；重資本開支 </t>
    </r>
    <r>
      <rPr>
        <sz val="10"/>
        <color rgb="FF000000"/>
        <rFont val="Arial"/>
        <family val="0"/>
        <charset val="1"/>
      </rPr>
      <t xml:space="preserve">$50–60 </t>
    </r>
    <r>
      <rPr>
        <sz val="10"/>
        <color rgb="FF000000"/>
        <rFont val="WenQuanYi Zen Hei"/>
        <family val="2"/>
      </rPr>
      <t xml:space="preserve">億</t>
    </r>
  </si>
  <si>
    <t xml:space="preserve">合約通脹轉嫁；電子特氣受惠半導體擴產；工業產量週期</t>
  </si>
  <si>
    <t xml:space="preserve">NEM</t>
  </si>
  <si>
    <t xml:space="preserve">實際利率上行不利金價；避險屬性；強美元利空</t>
  </si>
  <si>
    <t xml:space="preserve">FCX</t>
  </si>
  <si>
    <r>
      <rPr>
        <sz val="10"/>
        <color rgb="FF000000"/>
        <rFont val="WenQuanYi Zen Hei"/>
        <family val="2"/>
      </rPr>
      <t xml:space="preserve">電網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數據中心拉動銅需求；衰退敏感；印尼政策風險</t>
    </r>
  </si>
  <si>
    <r>
      <rPr>
        <b val="true"/>
        <sz val="16"/>
        <color rgb="FF1F3864"/>
        <rFont val="WenQuanYi Zen Hei"/>
        <family val="2"/>
      </rPr>
      <t xml:space="preserve">可比公司估值表 — </t>
    </r>
    <r>
      <rPr>
        <b val="true"/>
        <sz val="16"/>
        <color rgb="FF1F3864"/>
        <rFont val="Arial"/>
        <family val="0"/>
        <charset val="1"/>
      </rPr>
      <t xml:space="preserve">4 </t>
    </r>
    <r>
      <rPr>
        <b val="true"/>
        <sz val="16"/>
        <color rgb="FF1F3864"/>
        <rFont val="WenQuanYi Zen Hei"/>
        <family val="2"/>
      </rPr>
      <t xml:space="preserve">板塊 </t>
    </r>
    <r>
      <rPr>
        <b val="true"/>
        <sz val="16"/>
        <color rgb="FF1F3864"/>
        <rFont val="Arial"/>
        <family val="0"/>
        <charset val="1"/>
      </rPr>
      <t xml:space="preserve">× </t>
    </r>
    <r>
      <rPr>
        <b val="true"/>
        <sz val="16"/>
        <color rgb="FF1F3864"/>
        <rFont val="WenQuanYi Zen Hei"/>
        <family val="2"/>
      </rPr>
      <t xml:space="preserve">市值前 </t>
    </r>
    <r>
      <rPr>
        <b val="true"/>
        <sz val="16"/>
        <color rgb="FF1F3864"/>
        <rFont val="Arial"/>
        <family val="0"/>
        <charset val="1"/>
      </rPr>
      <t xml:space="preserve">3 </t>
    </r>
    <r>
      <rPr>
        <b val="true"/>
        <sz val="16"/>
        <color rgb="FF1F3864"/>
        <rFont val="WenQuanYi Zen Hei"/>
        <family val="2"/>
      </rPr>
      <t xml:space="preserve">龍頭</t>
    </r>
  </si>
  <si>
    <r>
      <rPr>
        <i val="true"/>
        <sz val="8"/>
        <color rgb="FF595959"/>
        <rFont val="WenQuanYi Zen Hei"/>
        <family val="2"/>
      </rPr>
      <t xml:space="preserve">市場數據：</t>
    </r>
    <r>
      <rPr>
        <i val="true"/>
        <sz val="8"/>
        <color rgb="FF595959"/>
        <rFont val="Arial"/>
        <family val="0"/>
        <charset val="1"/>
      </rPr>
      <t xml:space="preserve">LongBridge calc_indexes / valuation_history / institution_rating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2026-10-09</t>
    </r>
    <r>
      <rPr>
        <i val="true"/>
        <sz val="8"/>
        <color rgb="FF595959"/>
        <rFont val="WenQuanYi Zen Hei"/>
        <family val="2"/>
      </rPr>
      <t xml:space="preserve">）。</t>
    </r>
    <r>
      <rPr>
        <i val="true"/>
        <sz val="8"/>
        <color rgb="FF595959"/>
        <rFont val="Arial"/>
        <family val="0"/>
        <charset val="1"/>
      </rPr>
      <t xml:space="preserve">Fwd EPS = LongBridge </t>
    </r>
    <r>
      <rPr>
        <i val="true"/>
        <sz val="8"/>
        <color rgb="FF595959"/>
        <rFont val="WenQuanYi Zen Hei"/>
        <family val="2"/>
      </rPr>
      <t xml:space="preserve">一致預期中位數（下一財年，≈</t>
    </r>
    <r>
      <rPr>
        <i val="true"/>
        <sz val="8"/>
        <color rgb="FF595959"/>
        <rFont val="Arial"/>
        <family val="0"/>
        <charset val="1"/>
      </rPr>
      <t xml:space="preserve">FY2027E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BRK </t>
    </r>
    <r>
      <rPr>
        <i val="true"/>
        <sz val="8"/>
        <color rgb="FF595959"/>
        <rFont val="WenQuanYi Zen Hei"/>
        <family val="2"/>
      </rPr>
      <t xml:space="preserve">為營運 </t>
    </r>
    <r>
      <rPr>
        <i val="true"/>
        <sz val="8"/>
        <color rgb="FF595959"/>
        <rFont val="Arial"/>
        <family val="0"/>
        <charset val="1"/>
      </rPr>
      <t xml:space="preserve">EPS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REIT </t>
    </r>
    <r>
      <rPr>
        <i val="true"/>
        <sz val="8"/>
        <color rgb="FF595959"/>
        <rFont val="WenQuanYi Zen Hei"/>
        <family val="2"/>
      </rPr>
      <t xml:space="preserve">為 </t>
    </r>
    <r>
      <rPr>
        <i val="true"/>
        <sz val="8"/>
        <color rgb="FF595959"/>
        <rFont val="Arial"/>
        <family val="0"/>
        <charset val="1"/>
      </rPr>
      <t xml:space="preserve">GAAP EPS</t>
    </r>
    <r>
      <rPr>
        <i val="true"/>
        <sz val="8"/>
        <color rgb="FF595959"/>
        <rFont val="WenQuanYi Zen Hei"/>
        <family val="2"/>
      </rPr>
      <t xml:space="preserve">）。</t>
    </r>
  </si>
  <si>
    <t xml:space="preserve">子行業</t>
  </si>
  <si>
    <r>
      <rPr>
        <b val="true"/>
        <sz val="10"/>
        <color rgb="FFFFFFFF"/>
        <rFont val="WenQuanYi Zen Hei"/>
        <family val="2"/>
      </rPr>
      <t xml:space="preserve">股價 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</si>
  <si>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WenQuanYi Zen Hei"/>
        <family val="2"/>
      </rPr>
      <t xml:space="preserve">市值 </t>
    </r>
    <r>
      <rPr>
        <b val="true"/>
        <sz val="10"/>
        <color rgb="FFFFFFFF"/>
        <rFont val="Arial"/>
        <family val="0"/>
        <charset val="1"/>
      </rPr>
      <t xml:space="preserve">($B)</t>
    </r>
  </si>
  <si>
    <r>
      <rPr>
        <b val="true"/>
        <sz val="10"/>
        <color rgb="FFFFFFFF"/>
        <rFont val="WenQuanYi Zen Hei"/>
        <family val="2"/>
      </rPr>
      <t xml:space="preserve">股數 </t>
    </r>
    <r>
      <rPr>
        <b val="true"/>
        <sz val="10"/>
        <color rgb="FFFFFFFF"/>
        <rFont val="Arial"/>
        <family val="0"/>
        <charset val="1"/>
      </rPr>
      <t xml:space="preserve">(B)</t>
    </r>
  </si>
  <si>
    <t xml:space="preserve">P/E TTM</t>
  </si>
  <si>
    <t xml:space="preserve">Fwd EPS ($)</t>
  </si>
  <si>
    <t xml:space="preserve">P/B</t>
  </si>
  <si>
    <t xml:space="preserve">股息率</t>
  </si>
  <si>
    <t xml:space="preserve">ROE FY25</t>
  </si>
  <si>
    <r>
      <rPr>
        <b val="true"/>
        <sz val="10"/>
        <color rgb="FFFFFFFF"/>
        <rFont val="Arial"/>
        <family val="0"/>
        <charset val="1"/>
      </rPr>
      <t xml:space="preserve">ROE 5Y</t>
    </r>
    <r>
      <rPr>
        <b val="true"/>
        <sz val="10"/>
        <color rgb="FFFFFFFF"/>
        <rFont val="WenQuanYi Zen Hei"/>
        <family val="2"/>
      </rPr>
      <t xml:space="preserve">均</t>
    </r>
  </si>
  <si>
    <r>
      <rPr>
        <b val="true"/>
        <sz val="10"/>
        <color rgb="FFFFFFFF"/>
        <rFont val="WenQuanYi Zen Hei"/>
        <family val="2"/>
      </rPr>
      <t xml:space="preserve">營收 </t>
    </r>
    <r>
      <rPr>
        <b val="true"/>
        <sz val="10"/>
        <color rgb="FFFFFFFF"/>
        <rFont val="Arial"/>
        <family val="0"/>
        <charset val="1"/>
      </rPr>
      <t xml:space="preserve">5Y CAGR</t>
    </r>
  </si>
  <si>
    <t xml:space="preserve">EPS 5Y CAGR</t>
  </si>
  <si>
    <r>
      <rPr>
        <b val="true"/>
        <sz val="10"/>
        <color rgb="FFFFFFFF"/>
        <rFont val="WenQuanYi Zen Hei"/>
        <family val="2"/>
      </rPr>
      <t xml:space="preserve">淨利率 </t>
    </r>
    <r>
      <rPr>
        <b val="true"/>
        <sz val="10"/>
        <color rgb="FFFFFFFF"/>
        <rFont val="Arial"/>
        <family val="0"/>
        <charset val="1"/>
      </rPr>
      <t xml:space="preserve">FY25</t>
    </r>
  </si>
  <si>
    <r>
      <rPr>
        <b val="true"/>
        <sz val="10"/>
        <color rgb="FFFFFFFF"/>
        <rFont val="WenQuanYi Zen Hei"/>
        <family val="2"/>
      </rPr>
      <t xml:space="preserve">負債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資產</t>
    </r>
  </si>
  <si>
    <t xml:space="preserve">估值指標</t>
  </si>
  <si>
    <t xml:space="preserve">當前</t>
  </si>
  <si>
    <t xml:space="preserve">歷史低</t>
  </si>
  <si>
    <t xml:space="preserve">歷史中位</t>
  </si>
  <si>
    <t xml:space="preserve">歷史高</t>
  </si>
  <si>
    <r>
      <rPr>
        <b val="true"/>
        <sz val="10"/>
        <color rgb="FFFFFFFF"/>
        <rFont val="WenQuanYi Zen Hei"/>
        <family val="2"/>
      </rPr>
      <t xml:space="preserve">比歷史 </t>
    </r>
    <r>
      <rPr>
        <b val="true"/>
        <sz val="10"/>
        <color rgb="FFFFFFFF"/>
        <rFont val="Arial"/>
        <family val="0"/>
        <charset val="1"/>
      </rPr>
      <t xml:space="preserve">X% </t>
    </r>
    <r>
      <rPr>
        <b val="true"/>
        <sz val="10"/>
        <color rgb="FFFFFFFF"/>
        <rFont val="WenQuanYi Zen Hei"/>
        <family val="2"/>
      </rPr>
      <t xml:space="preserve">時間便宜</t>
    </r>
  </si>
  <si>
    <t xml:space="preserve">區間</t>
  </si>
  <si>
    <t xml:space="preserve">行業中位</t>
  </si>
  <si>
    <t xml:space="preserve">YTD</t>
  </si>
  <si>
    <t xml:space="preserve">Buy</t>
  </si>
  <si>
    <t xml:space="preserve">Over</t>
  </si>
  <si>
    <t xml:space="preserve">Hold</t>
  </si>
  <si>
    <t xml:space="preserve">Under+Sell</t>
  </si>
  <si>
    <t xml:space="preserve">總數</t>
  </si>
  <si>
    <t xml:space="preserve">金融</t>
  </si>
  <si>
    <r>
      <rPr>
        <sz val="10"/>
        <color rgb="FF000000"/>
        <rFont val="WenQuanYi Zen Hei"/>
        <family val="2"/>
      </rPr>
      <t xml:space="preserve">多元控股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保險</t>
    </r>
  </si>
  <si>
    <t xml:space="preserve">5Y</t>
  </si>
  <si>
    <t xml:space="preserve">多元化銀行</t>
  </si>
  <si>
    <t xml:space="preserve">P/E</t>
  </si>
  <si>
    <t xml:space="preserve">3Y</t>
  </si>
  <si>
    <t xml:space="preserve">支付網絡</t>
  </si>
  <si>
    <t xml:space="preserve">公用事業</t>
  </si>
  <si>
    <r>
      <rPr>
        <sz val="10"/>
        <color rgb="FF000000"/>
        <rFont val="WenQuanYi Zen Hei"/>
        <family val="2"/>
      </rPr>
      <t xml:space="preserve">受監管電力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再生能源</t>
    </r>
  </si>
  <si>
    <t xml:space="preserve">Constellation Energy</t>
  </si>
  <si>
    <r>
      <rPr>
        <sz val="10"/>
        <color rgb="FF000000"/>
        <rFont val="WenQuanYi Zen Hei"/>
        <family val="2"/>
      </rPr>
      <t xml:space="preserve">獨立發電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核電</t>
    </r>
    <r>
      <rPr>
        <sz val="10"/>
        <color rgb="FF000000"/>
        <rFont val="Arial"/>
        <family val="0"/>
        <charset val="1"/>
      </rPr>
      <t xml:space="preserve">)</t>
    </r>
  </si>
  <si>
    <t xml:space="preserve">Southern Co.</t>
  </si>
  <si>
    <t xml:space="preserve">受監管電力</t>
  </si>
  <si>
    <t xml:space="preserve">Welltower</t>
  </si>
  <si>
    <t xml:space="preserve">房地產</t>
  </si>
  <si>
    <r>
      <rPr>
        <sz val="10"/>
        <color rgb="FF000000"/>
        <rFont val="WenQuanYi Zen Hei"/>
        <family val="2"/>
      </rPr>
      <t xml:space="preserve">醫療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長者住宅</t>
    </r>
    <r>
      <rPr>
        <sz val="10"/>
        <color rgb="FF000000"/>
        <rFont val="Arial"/>
        <family val="0"/>
        <charset val="1"/>
      </rPr>
      <t xml:space="preserve">REIT</t>
    </r>
  </si>
  <si>
    <r>
      <rPr>
        <sz val="10"/>
        <color rgb="FF000000"/>
        <rFont val="WenQuanYi Zen Hei"/>
        <family val="2"/>
      </rPr>
      <t xml:space="preserve">物流</t>
    </r>
    <r>
      <rPr>
        <sz val="10"/>
        <color rgb="FF000000"/>
        <rFont val="Arial"/>
        <family val="0"/>
        <charset val="1"/>
      </rPr>
      <t xml:space="preserve">REIT</t>
    </r>
  </si>
  <si>
    <t xml:space="preserve">Equinix</t>
  </si>
  <si>
    <r>
      <rPr>
        <sz val="10"/>
        <color rgb="FF000000"/>
        <rFont val="WenQuanYi Zen Hei"/>
        <family val="2"/>
      </rPr>
      <t xml:space="preserve">數據中心</t>
    </r>
    <r>
      <rPr>
        <sz val="10"/>
        <color rgb="FF000000"/>
        <rFont val="Arial"/>
        <family val="0"/>
        <charset val="1"/>
      </rPr>
      <t xml:space="preserve">REIT</t>
    </r>
  </si>
  <si>
    <t xml:space="preserve">原材料</t>
  </si>
  <si>
    <t xml:space="preserve">工業氣體</t>
  </si>
  <si>
    <t xml:space="preserve">Newmont</t>
  </si>
  <si>
    <t xml:space="preserve">黃金開採</t>
  </si>
  <si>
    <t xml:space="preserve">1Y</t>
  </si>
  <si>
    <t xml:space="preserve">Freeport-McMoRan</t>
  </si>
  <si>
    <t xml:space="preserve">銅金開採</t>
  </si>
  <si>
    <t xml:space="preserve">中位數</t>
  </si>
  <si>
    <t xml:space="preserve">平均數</t>
  </si>
  <si>
    <t xml:space="preserve">註：</t>
  </si>
  <si>
    <r>
      <rPr>
        <i val="true"/>
        <sz val="8"/>
        <color rgb="FF595959"/>
        <rFont val="Arial"/>
        <family val="0"/>
        <charset val="1"/>
      </rPr>
      <t xml:space="preserve">BRK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WELL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PLD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EQIX </t>
    </r>
    <r>
      <rPr>
        <i val="true"/>
        <sz val="8"/>
        <color rgb="FF595959"/>
        <rFont val="WenQuanYi Zen Hei"/>
        <family val="2"/>
      </rPr>
      <t xml:space="preserve">的估值區間以 </t>
    </r>
    <r>
      <rPr>
        <i val="true"/>
        <sz val="8"/>
        <color rgb="FF595959"/>
        <rFont val="Arial"/>
        <family val="0"/>
        <charset val="1"/>
      </rPr>
      <t xml:space="preserve">P/B </t>
    </r>
    <r>
      <rPr>
        <i val="true"/>
        <sz val="8"/>
        <color rgb="FF595959"/>
        <rFont val="WenQuanYi Zen Hei"/>
        <family val="2"/>
      </rPr>
      <t xml:space="preserve">計（</t>
    </r>
    <r>
      <rPr>
        <i val="true"/>
        <sz val="8"/>
        <color rgb="FF595959"/>
        <rFont val="Arial"/>
        <family val="0"/>
        <charset val="1"/>
      </rPr>
      <t xml:space="preserve">LongBridge </t>
    </r>
    <r>
      <rPr>
        <i val="true"/>
        <sz val="8"/>
        <color rgb="FF595959"/>
        <rFont val="WenQuanYi Zen Hei"/>
        <family val="2"/>
      </rPr>
      <t xml:space="preserve">提供）；</t>
    </r>
    <r>
      <rPr>
        <i val="true"/>
        <sz val="8"/>
        <color rgb="FF595959"/>
        <rFont val="Arial"/>
        <family val="0"/>
        <charset val="1"/>
      </rPr>
      <t xml:space="preserve">REIT </t>
    </r>
    <r>
      <rPr>
        <i val="true"/>
        <sz val="8"/>
        <color rgb="FF595959"/>
        <rFont val="WenQuanYi Zen Hei"/>
        <family val="2"/>
      </rPr>
      <t xml:space="preserve">的 </t>
    </r>
    <r>
      <rPr>
        <i val="true"/>
        <sz val="8"/>
        <color rgb="FF595959"/>
        <rFont val="Arial"/>
        <family val="0"/>
        <charset val="1"/>
      </rPr>
      <t xml:space="preserve">P/E </t>
    </r>
    <r>
      <rPr>
        <i val="true"/>
        <sz val="8"/>
        <color rgb="FF595959"/>
        <rFont val="WenQuanYi Zen Hei"/>
        <family val="2"/>
      </rPr>
      <t xml:space="preserve">因折舊失真，見 </t>
    </r>
    <r>
      <rPr>
        <i val="true"/>
        <sz val="8"/>
        <color rgb="FF595959"/>
        <rFont val="Arial"/>
        <family val="0"/>
        <charset val="1"/>
      </rPr>
      <t xml:space="preserve">Valuation </t>
    </r>
    <r>
      <rPr>
        <i val="true"/>
        <sz val="8"/>
        <color rgb="FF595959"/>
        <rFont val="WenQuanYi Zen Hei"/>
        <family val="2"/>
      </rPr>
      <t xml:space="preserve">頁 </t>
    </r>
    <r>
      <rPr>
        <i val="true"/>
        <sz val="8"/>
        <color rgb="FF595959"/>
        <rFont val="Arial"/>
        <family val="0"/>
        <charset val="1"/>
      </rPr>
      <t xml:space="preserve">P/FFO</t>
    </r>
    <r>
      <rPr>
        <i val="true"/>
        <sz val="8"/>
        <color rgb="FF595959"/>
        <rFont val="WenQuanYi Zen Hei"/>
        <family val="2"/>
      </rPr>
      <t xml:space="preserve">。</t>
    </r>
  </si>
  <si>
    <r>
      <rPr>
        <i val="true"/>
        <sz val="8"/>
        <color rgb="FF595959"/>
        <rFont val="WenQuanYi Zen Hei"/>
        <family val="2"/>
      </rPr>
      <t xml:space="preserve">「比歷史 </t>
    </r>
    <r>
      <rPr>
        <i val="true"/>
        <sz val="8"/>
        <color rgb="FF595959"/>
        <rFont val="Arial"/>
        <family val="0"/>
        <charset val="1"/>
      </rPr>
      <t xml:space="preserve">X% </t>
    </r>
    <r>
      <rPr>
        <i val="true"/>
        <sz val="8"/>
        <color rgb="FF595959"/>
        <rFont val="WenQuanYi Zen Hei"/>
        <family val="2"/>
      </rPr>
      <t xml:space="preserve">時間便宜」</t>
    </r>
    <r>
      <rPr>
        <i val="true"/>
        <sz val="8"/>
        <color rgb="FF595959"/>
        <rFont val="Arial"/>
        <family val="0"/>
        <charset val="1"/>
      </rPr>
      <t xml:space="preserve">= </t>
    </r>
    <r>
      <rPr>
        <i val="true"/>
        <sz val="8"/>
        <color rgb="FF595959"/>
        <rFont val="WenQuanYi Zen Hei"/>
        <family val="2"/>
      </rPr>
      <t xml:space="preserve">當前倍數低於該區間內多少比例的歷史觀測值（越高越便宜）。</t>
    </r>
    <r>
      <rPr>
        <i val="true"/>
        <sz val="8"/>
        <color rgb="FF595959"/>
        <rFont val="Arial"/>
        <family val="0"/>
        <charset val="1"/>
      </rPr>
      <t xml:space="preserve">NEM </t>
    </r>
    <r>
      <rPr>
        <i val="true"/>
        <sz val="8"/>
        <color rgb="FF595959"/>
        <rFont val="WenQuanYi Zen Hei"/>
        <family val="2"/>
      </rPr>
      <t xml:space="preserve">僅 </t>
    </r>
    <r>
      <rPr>
        <i val="true"/>
        <sz val="8"/>
        <color rgb="FF595959"/>
        <rFont val="Arial"/>
        <family val="0"/>
        <charset val="1"/>
      </rPr>
      <t xml:space="preserve">1 </t>
    </r>
    <r>
      <rPr>
        <i val="true"/>
        <sz val="8"/>
        <color rgb="FF595959"/>
        <rFont val="WenQuanYi Zen Hei"/>
        <family val="2"/>
      </rPr>
      <t xml:space="preserve">年區間、</t>
    </r>
    <r>
      <rPr>
        <i val="true"/>
        <sz val="8"/>
        <color rgb="FF595959"/>
        <rFont val="Arial"/>
        <family val="0"/>
        <charset val="1"/>
      </rPr>
      <t xml:space="preserve">JPM/V/CEG/FCX </t>
    </r>
    <r>
      <rPr>
        <i val="true"/>
        <sz val="8"/>
        <color rgb="FF595959"/>
        <rFont val="WenQuanYi Zen Hei"/>
        <family val="2"/>
      </rPr>
      <t xml:space="preserve">為 </t>
    </r>
    <r>
      <rPr>
        <i val="true"/>
        <sz val="8"/>
        <color rgb="FF595959"/>
        <rFont val="Arial"/>
        <family val="0"/>
        <charset val="1"/>
      </rPr>
      <t xml:space="preserve">3 </t>
    </r>
    <r>
      <rPr>
        <i val="true"/>
        <sz val="8"/>
        <color rgb="FF595959"/>
        <rFont val="WenQuanYi Zen Hei"/>
        <family val="2"/>
      </rPr>
      <t xml:space="preserve">年。</t>
    </r>
  </si>
  <si>
    <r>
      <rPr>
        <i val="true"/>
        <sz val="8"/>
        <color rgb="FF595959"/>
        <rFont val="Arial"/>
        <family val="0"/>
        <charset val="1"/>
      </rPr>
      <t xml:space="preserve">CEG FY2021/2020 EPS </t>
    </r>
    <r>
      <rPr>
        <i val="true"/>
        <sz val="8"/>
        <color rgb="FF595959"/>
        <rFont val="WenQuanYi Zen Hei"/>
        <family val="2"/>
      </rPr>
      <t xml:space="preserve">缺失，</t>
    </r>
    <r>
      <rPr>
        <i val="true"/>
        <sz val="8"/>
        <color rgb="FF595959"/>
        <rFont val="Arial"/>
        <family val="0"/>
        <charset val="1"/>
      </rPr>
      <t xml:space="preserve">EPS CAGR </t>
    </r>
    <r>
      <rPr>
        <i val="true"/>
        <sz val="8"/>
        <color rgb="FF595959"/>
        <rFont val="WenQuanYi Zen Hei"/>
        <family val="2"/>
      </rPr>
      <t xml:space="preserve">顯示 </t>
    </r>
    <r>
      <rPr>
        <i val="true"/>
        <sz val="8"/>
        <color rgb="FF595959"/>
        <rFont val="Arial"/>
        <family val="0"/>
        <charset val="1"/>
      </rPr>
      <t xml:space="preserve">n/m</t>
    </r>
    <r>
      <rPr>
        <i val="true"/>
        <sz val="8"/>
        <color rgb="FF595959"/>
        <rFont val="WenQuanYi Zen Hei"/>
        <family val="2"/>
      </rPr>
      <t xml:space="preserve">。</t>
    </r>
    <r>
      <rPr>
        <i val="true"/>
        <sz val="8"/>
        <color rgb="FF595959"/>
        <rFont val="Arial"/>
        <family val="0"/>
        <charset val="1"/>
      </rPr>
      <t xml:space="preserve">WELL/PLD/EQIX </t>
    </r>
    <r>
      <rPr>
        <i val="true"/>
        <sz val="8"/>
        <color rgb="FF595959"/>
        <rFont val="WenQuanYi Zen Hei"/>
        <family val="2"/>
      </rPr>
      <t xml:space="preserve">的 </t>
    </r>
    <r>
      <rPr>
        <i val="true"/>
        <sz val="8"/>
        <color rgb="FF595959"/>
        <rFont val="Arial"/>
        <family val="0"/>
        <charset val="1"/>
      </rPr>
      <t xml:space="preserve">GAAP ROE </t>
    </r>
    <r>
      <rPr>
        <i val="true"/>
        <sz val="8"/>
        <color rgb="FF595959"/>
        <rFont val="WenQuanYi Zen Hei"/>
        <family val="2"/>
      </rPr>
      <t xml:space="preserve">被折舊壓低，不代表經濟回報。</t>
    </r>
  </si>
  <si>
    <r>
      <rPr>
        <b val="true"/>
        <sz val="16"/>
        <color rgb="FF1F3864"/>
        <rFont val="WenQuanYi Zen Hei"/>
        <family val="2"/>
      </rPr>
      <t xml:space="preserve">財務數據 </t>
    </r>
    <r>
      <rPr>
        <b val="true"/>
        <sz val="16"/>
        <color rgb="FF1F3864"/>
        <rFont val="Arial"/>
        <family val="0"/>
        <charset val="1"/>
      </rPr>
      <t xml:space="preserve">FY2025–FY2020</t>
    </r>
    <r>
      <rPr>
        <b val="true"/>
        <sz val="16"/>
        <color rgb="FF1F3864"/>
        <rFont val="WenQuanYi Zen Hei"/>
        <family val="2"/>
      </rPr>
      <t xml:space="preserve">（年報）</t>
    </r>
  </si>
  <si>
    <r>
      <rPr>
        <i val="true"/>
        <sz val="8"/>
        <color rgb="FF595959"/>
        <rFont val="WenQuanYi Zen Hei"/>
        <family val="2"/>
      </rPr>
      <t xml:space="preserve">來源：</t>
    </r>
    <r>
      <rPr>
        <i val="true"/>
        <sz val="8"/>
        <color rgb="FF595959"/>
        <rFont val="Arial"/>
        <family val="0"/>
        <charset val="1"/>
      </rPr>
      <t xml:space="preserve">LongBridge financial_report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annual</t>
    </r>
    <r>
      <rPr>
        <i val="true"/>
        <sz val="8"/>
        <color rgb="FF595959"/>
        <rFont val="WenQuanYi Zen Hei"/>
        <family val="2"/>
      </rPr>
      <t xml:space="preserve">）。</t>
    </r>
    <r>
      <rPr>
        <i val="true"/>
        <sz val="8"/>
        <color rgb="FF595959"/>
        <rFont val="Arial"/>
        <family val="0"/>
        <charset val="1"/>
      </rPr>
      <t xml:space="preserve">V </t>
    </r>
    <r>
      <rPr>
        <i val="true"/>
        <sz val="8"/>
        <color rgb="FF595959"/>
        <rFont val="WenQuanYi Zen Hei"/>
        <family val="2"/>
      </rPr>
      <t xml:space="preserve">財年截至 </t>
    </r>
    <r>
      <rPr>
        <i val="true"/>
        <sz val="8"/>
        <color rgb="FF595959"/>
        <rFont val="Arial"/>
        <family val="0"/>
        <charset val="1"/>
      </rPr>
      <t xml:space="preserve">9 </t>
    </r>
    <r>
      <rPr>
        <i val="true"/>
        <sz val="8"/>
        <color rgb="FF595959"/>
        <rFont val="WenQuanYi Zen Hei"/>
        <family val="2"/>
      </rPr>
      <t xml:space="preserve">月。</t>
    </r>
    <r>
      <rPr>
        <i val="true"/>
        <sz val="8"/>
        <color rgb="FF595959"/>
        <rFont val="Arial"/>
        <family val="0"/>
        <charset val="1"/>
      </rPr>
      <t xml:space="preserve">BRK </t>
    </r>
    <r>
      <rPr>
        <i val="true"/>
        <sz val="8"/>
        <color rgb="FF595959"/>
        <rFont val="WenQuanYi Zen Hei"/>
        <family val="2"/>
      </rPr>
      <t xml:space="preserve">淨利含未實現投資損益。單位：</t>
    </r>
    <r>
      <rPr>
        <i val="true"/>
        <sz val="8"/>
        <color rgb="FF595959"/>
        <rFont val="Arial"/>
        <family val="0"/>
        <charset val="1"/>
      </rPr>
      <t xml:space="preserve">$B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EPS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ROE </t>
    </r>
    <r>
      <rPr>
        <i val="true"/>
        <sz val="8"/>
        <color rgb="FF595959"/>
        <rFont val="WenQuanYi Zen Hei"/>
        <family val="2"/>
      </rPr>
      <t xml:space="preserve">除外）。</t>
    </r>
    <r>
      <rPr>
        <i val="true"/>
        <sz val="8"/>
        <color rgb="FF595959"/>
        <rFont val="Arial"/>
        <family val="0"/>
        <charset val="1"/>
      </rPr>
      <t xml:space="preserve">FCF = OCF − CapEx</t>
    </r>
    <r>
      <rPr>
        <i val="true"/>
        <sz val="8"/>
        <color rgb="FF595959"/>
        <rFont val="WenQuanYi Zen Hei"/>
        <family val="2"/>
      </rPr>
      <t xml:space="preserve">（有 </t>
    </r>
    <r>
      <rPr>
        <i val="true"/>
        <sz val="8"/>
        <color rgb="FF595959"/>
        <rFont val="Arial"/>
        <family val="0"/>
        <charset val="1"/>
      </rPr>
      <t xml:space="preserve">CapEx </t>
    </r>
    <r>
      <rPr>
        <i val="true"/>
        <sz val="8"/>
        <color rgb="FF595959"/>
        <rFont val="WenQuanYi Zen Hei"/>
        <family val="2"/>
      </rPr>
      <t xml:space="preserve">數據者）。</t>
    </r>
  </si>
  <si>
    <t xml:space="preserve">單位</t>
  </si>
  <si>
    <t xml:space="preserve">FY2025</t>
  </si>
  <si>
    <t xml:space="preserve">FY2024</t>
  </si>
  <si>
    <t xml:space="preserve">FY2023</t>
  </si>
  <si>
    <t xml:space="preserve">FY2022</t>
  </si>
  <si>
    <t xml:space="preserve">FY2021</t>
  </si>
  <si>
    <t xml:space="preserve">FY2020</t>
  </si>
  <si>
    <r>
      <rPr>
        <b val="true"/>
        <sz val="10"/>
        <color rgb="FFFFFFFF"/>
        <rFont val="Arial"/>
        <family val="0"/>
        <charset val="1"/>
      </rPr>
      <t xml:space="preserve">5Y CAGR/</t>
    </r>
    <r>
      <rPr>
        <b val="true"/>
        <sz val="10"/>
        <color rgb="FFFFFFFF"/>
        <rFont val="WenQuanYi Zen Hei"/>
        <family val="2"/>
      </rPr>
      <t xml:space="preserve">均值</t>
    </r>
  </si>
  <si>
    <r>
      <rPr>
        <sz val="10"/>
        <color rgb="FF000000"/>
        <rFont val="WenQuanYi Zen Hei"/>
        <family val="2"/>
      </rPr>
      <t xml:space="preserve">營業收入 </t>
    </r>
    <r>
      <rPr>
        <sz val="10"/>
        <color rgb="FF000000"/>
        <rFont val="Arial"/>
        <family val="0"/>
        <charset val="1"/>
      </rPr>
      <t xml:space="preserve">Revenue</t>
    </r>
  </si>
  <si>
    <t xml:space="preserve">$B</t>
  </si>
  <si>
    <r>
      <rPr>
        <sz val="10"/>
        <color rgb="FF000000"/>
        <rFont val="WenQuanYi Zen Hei"/>
        <family val="2"/>
      </rPr>
      <t xml:space="preserve">淨利潤 </t>
    </r>
    <r>
      <rPr>
        <sz val="10"/>
        <color rgb="FF000000"/>
        <rFont val="Arial"/>
        <family val="0"/>
        <charset val="1"/>
      </rPr>
      <t xml:space="preserve">Net income</t>
    </r>
  </si>
  <si>
    <r>
      <rPr>
        <sz val="10"/>
        <color rgb="FF000000"/>
        <rFont val="WenQuanYi Zen Hei"/>
        <family val="2"/>
      </rPr>
      <t xml:space="preserve">每股收益 </t>
    </r>
    <r>
      <rPr>
        <sz val="10"/>
        <color rgb="FF000000"/>
        <rFont val="Arial"/>
        <family val="0"/>
        <charset val="1"/>
      </rPr>
      <t xml:space="preserve">EPS</t>
    </r>
  </si>
  <si>
    <t xml:space="preserve">$</t>
  </si>
  <si>
    <t xml:space="preserve">ROE</t>
  </si>
  <si>
    <t xml:space="preserve">%</t>
  </si>
  <si>
    <r>
      <rPr>
        <sz val="10"/>
        <color rgb="FF000000"/>
        <rFont val="WenQuanYi Zen Hei"/>
        <family val="2"/>
      </rPr>
      <t xml:space="preserve">經營現金流 </t>
    </r>
    <r>
      <rPr>
        <sz val="10"/>
        <color rgb="FF000000"/>
        <rFont val="Arial"/>
        <family val="0"/>
        <charset val="1"/>
      </rPr>
      <t xml:space="preserve">OCF</t>
    </r>
  </si>
  <si>
    <r>
      <rPr>
        <sz val="10"/>
        <color rgb="FF000000"/>
        <rFont val="WenQuanYi Zen Hei"/>
        <family val="2"/>
      </rPr>
      <t xml:space="preserve">資本開支 </t>
    </r>
    <r>
      <rPr>
        <sz val="10"/>
        <color rgb="FF000000"/>
        <rFont val="Arial"/>
        <family val="0"/>
        <charset val="1"/>
      </rPr>
      <t xml:space="preserve">CapEx</t>
    </r>
  </si>
  <si>
    <r>
      <rPr>
        <sz val="10"/>
        <color rgb="FF000000"/>
        <rFont val="WenQuanYi Zen Hei"/>
        <family val="2"/>
      </rPr>
      <t xml:space="preserve">自由現金流 </t>
    </r>
    <r>
      <rPr>
        <sz val="10"/>
        <color rgb="FF000000"/>
        <rFont val="Arial"/>
        <family val="0"/>
        <charset val="1"/>
      </rPr>
      <t xml:space="preserve">FCF</t>
    </r>
  </si>
  <si>
    <r>
      <rPr>
        <sz val="10"/>
        <color rgb="FF000000"/>
        <rFont val="WenQuanYi Zen Hei"/>
        <family val="2"/>
      </rPr>
      <t xml:space="preserve">總資產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總負債 </t>
    </r>
    <r>
      <rPr>
        <sz val="10"/>
        <color rgb="FF000000"/>
        <rFont val="Arial"/>
        <family val="0"/>
        <charset val="1"/>
      </rPr>
      <t xml:space="preserve">FY25</t>
    </r>
  </si>
  <si>
    <r>
      <rPr>
        <sz val="10"/>
        <color rgb="FF000000"/>
        <rFont val="WenQuanYi Zen Hei"/>
        <family val="2"/>
      </rPr>
      <t xml:space="preserve">負債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資產</t>
    </r>
  </si>
  <si>
    <r>
      <rPr>
        <b val="true"/>
        <sz val="16"/>
        <color rgb="FF1F3864"/>
        <rFont val="WenQuanYi Zen Hei"/>
        <family val="2"/>
      </rPr>
      <t xml:space="preserve">多方法估值 </t>
    </r>
    <r>
      <rPr>
        <b val="true"/>
        <sz val="16"/>
        <color rgb="FF1F3864"/>
        <rFont val="Arial"/>
        <family val="0"/>
        <charset val="1"/>
      </rPr>
      <t xml:space="preserve">&amp; </t>
    </r>
    <r>
      <rPr>
        <b val="true"/>
        <sz val="16"/>
        <color rgb="FF1F3864"/>
        <rFont val="WenQuanYi Zen Hei"/>
        <family val="2"/>
      </rPr>
      <t xml:space="preserve">反向 </t>
    </r>
    <r>
      <rPr>
        <b val="true"/>
        <sz val="16"/>
        <color rgb="FF1F3864"/>
        <rFont val="Arial"/>
        <family val="0"/>
        <charset val="1"/>
      </rPr>
      <t xml:space="preserve">DCF</t>
    </r>
  </si>
  <si>
    <r>
      <rPr>
        <i val="true"/>
        <sz val="8"/>
        <color rgb="FF595959"/>
        <rFont val="Arial"/>
        <family val="0"/>
        <charset val="1"/>
      </rPr>
      <t xml:space="preserve">A1=</t>
    </r>
    <r>
      <rPr>
        <i val="true"/>
        <sz val="8"/>
        <color rgb="FF595959"/>
        <rFont val="WenQuanYi Zen Hei"/>
        <family val="2"/>
      </rPr>
      <t xml:space="preserve">歷史中位倍數；</t>
    </r>
    <r>
      <rPr>
        <i val="true"/>
        <sz val="8"/>
        <color rgb="FF595959"/>
        <rFont val="Arial"/>
        <family val="0"/>
        <charset val="1"/>
      </rPr>
      <t xml:space="preserve">A2=</t>
    </r>
    <r>
      <rPr>
        <i val="true"/>
        <sz val="8"/>
        <color rgb="FF595959"/>
        <rFont val="WenQuanYi Zen Hei"/>
        <family val="2"/>
      </rPr>
      <t xml:space="preserve">同業</t>
    </r>
    <r>
      <rPr>
        <i val="true"/>
        <sz val="8"/>
        <color rgb="FF595959"/>
        <rFont val="Arial"/>
        <family val="0"/>
        <charset val="1"/>
      </rPr>
      <t xml:space="preserve">/</t>
    </r>
    <r>
      <rPr>
        <i val="true"/>
        <sz val="8"/>
        <color rgb="FF595959"/>
        <rFont val="WenQuanYi Zen Hei"/>
        <family val="2"/>
      </rPr>
      <t xml:space="preserve">目標倍數；</t>
    </r>
    <r>
      <rPr>
        <i val="true"/>
        <sz val="8"/>
        <color rgb="FF595959"/>
        <rFont val="Arial"/>
        <family val="0"/>
        <charset val="1"/>
      </rPr>
      <t xml:space="preserve">B=</t>
    </r>
    <r>
      <rPr>
        <i val="true"/>
        <sz val="8"/>
        <color rgb="FF595959"/>
        <rFont val="WenQuanYi Zen Hei"/>
        <family val="2"/>
      </rPr>
      <t xml:space="preserve">兩階段 </t>
    </r>
    <r>
      <rPr>
        <i val="true"/>
        <sz val="8"/>
        <color rgb="FF595959"/>
        <rFont val="Arial"/>
        <family val="0"/>
        <charset val="1"/>
      </rPr>
      <t xml:space="preserve">DCF/DDM</t>
    </r>
    <r>
      <rPr>
        <i val="true"/>
        <sz val="8"/>
        <color rgb="FF595959"/>
        <rFont val="WenQuanYi Zen Hei"/>
        <family val="2"/>
      </rPr>
      <t xml:space="preserve">（每股現金流 </t>
    </r>
    <r>
      <rPr>
        <i val="true"/>
        <sz val="8"/>
        <color rgb="FF595959"/>
        <rFont val="Arial"/>
        <family val="0"/>
        <charset val="1"/>
      </rPr>
      <t xml:space="preserve">CF1 </t>
    </r>
    <r>
      <rPr>
        <i val="true"/>
        <sz val="8"/>
        <color rgb="FF595959"/>
        <rFont val="WenQuanYi Zen Hei"/>
        <family val="2"/>
      </rPr>
      <t xml:space="preserve">第 </t>
    </r>
    <r>
      <rPr>
        <i val="true"/>
        <sz val="8"/>
        <color rgb="FF595959"/>
        <rFont val="Arial"/>
        <family val="0"/>
        <charset val="1"/>
      </rPr>
      <t xml:space="preserve">1–5 </t>
    </r>
    <r>
      <rPr>
        <i val="true"/>
        <sz val="8"/>
        <color rgb="FF595959"/>
        <rFont val="WenQuanYi Zen Hei"/>
        <family val="2"/>
      </rPr>
      <t xml:space="preserve">年按 </t>
    </r>
    <r>
      <rPr>
        <i val="true"/>
        <sz val="8"/>
        <color rgb="FF595959"/>
        <rFont val="Arial"/>
        <family val="0"/>
        <charset val="1"/>
      </rPr>
      <t xml:space="preserve">g1 </t>
    </r>
    <r>
      <rPr>
        <i val="true"/>
        <sz val="8"/>
        <color rgb="FF595959"/>
        <rFont val="WenQuanYi Zen Hei"/>
        <family val="2"/>
      </rPr>
      <t xml:space="preserve">增長，之後按 </t>
    </r>
    <r>
      <rPr>
        <i val="true"/>
        <sz val="8"/>
        <color rgb="FF595959"/>
        <rFont val="Arial"/>
        <family val="0"/>
        <charset val="1"/>
      </rPr>
      <t xml:space="preserve">gT </t>
    </r>
    <r>
      <rPr>
        <i val="true"/>
        <sz val="8"/>
        <color rgb="FF595959"/>
        <rFont val="WenQuanYi Zen Hei"/>
        <family val="2"/>
      </rPr>
      <t xml:space="preserve">永續）；</t>
    </r>
    <r>
      <rPr>
        <i val="true"/>
        <sz val="8"/>
        <color rgb="FF595959"/>
        <rFont val="Arial"/>
        <family val="0"/>
        <charset val="1"/>
      </rPr>
      <t xml:space="preserve">C=</t>
    </r>
    <r>
      <rPr>
        <i val="true"/>
        <sz val="8"/>
        <color rgb="FF595959"/>
        <rFont val="WenQuanYi Zen Hei"/>
        <family val="2"/>
      </rPr>
      <t xml:space="preserve">分析師共識目標價。黃底</t>
    </r>
    <r>
      <rPr>
        <i val="true"/>
        <sz val="8"/>
        <color rgb="FF595959"/>
        <rFont val="Arial"/>
        <family val="0"/>
        <charset val="1"/>
      </rPr>
      <t xml:space="preserve">=</t>
    </r>
    <r>
      <rPr>
        <i val="true"/>
        <sz val="8"/>
        <color rgb="FF595959"/>
        <rFont val="WenQuanYi Zen Hei"/>
        <family val="2"/>
      </rPr>
      <t xml:space="preserve">全局假設。</t>
    </r>
  </si>
  <si>
    <t xml:space="preserve">全局假設（可調，全表重算）</t>
  </si>
  <si>
    <r>
      <rPr>
        <sz val="10"/>
        <color rgb="FF000000"/>
        <rFont val="WenQuanYi Zen Hei"/>
        <family val="2"/>
      </rPr>
      <t xml:space="preserve">無風險利率 </t>
    </r>
    <r>
      <rPr>
        <sz val="10"/>
        <color rgb="FF000000"/>
        <rFont val="Arial"/>
        <family val="0"/>
        <charset val="1"/>
      </rPr>
      <t xml:space="preserve">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=Macro 10Y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</si>
  <si>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股權風險溢價 </t>
    </r>
    <r>
      <rPr>
        <sz val="10"/>
        <color rgb="FF000000"/>
        <rFont val="Arial"/>
        <family val="0"/>
        <charset val="1"/>
      </rPr>
      <t xml:space="preserve">ERP</t>
    </r>
  </si>
  <si>
    <r>
      <rPr>
        <sz val="10"/>
        <color rgb="FF000000"/>
        <rFont val="WenQuanYi Zen Hei"/>
        <family val="2"/>
      </rPr>
      <t xml:space="preserve">權重：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歷史倍數</t>
    </r>
  </si>
  <si>
    <r>
      <rPr>
        <sz val="10"/>
        <color rgb="FF000000"/>
        <rFont val="WenQuanYi Zen Hei"/>
        <family val="2"/>
      </rPr>
      <t xml:space="preserve">權重：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同業倍數</t>
    </r>
  </si>
  <si>
    <r>
      <rPr>
        <sz val="10"/>
        <color rgb="FF000000"/>
        <rFont val="WenQuanYi Zen Hei"/>
        <family val="2"/>
      </rPr>
      <t xml:space="preserve">權重：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內在價值</t>
    </r>
  </si>
  <si>
    <r>
      <rPr>
        <sz val="10"/>
        <color rgb="FF000000"/>
        <rFont val="WenQuanYi Zen Hei"/>
        <family val="2"/>
      </rPr>
      <t xml:space="preserve">權重：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共識目標</t>
    </r>
  </si>
  <si>
    <t xml:space="preserve">低估門檻（安全邊際 ≥）</t>
  </si>
  <si>
    <t xml:space="preserve">高估門檻（安全邊際 ≤）</t>
  </si>
  <si>
    <t xml:space="preserve">權重合計</t>
  </si>
  <si>
    <r>
      <rPr>
        <b val="true"/>
        <sz val="10"/>
        <color rgb="FFFFFFFF"/>
        <rFont val="Arial"/>
        <family val="0"/>
        <charset val="1"/>
      </rPr>
      <t xml:space="preserve">A1 </t>
    </r>
    <r>
      <rPr>
        <b val="true"/>
        <sz val="10"/>
        <color rgb="FFFFFFFF"/>
        <rFont val="WenQuanYi Zen Hei"/>
        <family val="2"/>
      </rPr>
      <t xml:space="preserve">指標</t>
    </r>
  </si>
  <si>
    <r>
      <rPr>
        <b val="true"/>
        <sz val="10"/>
        <color rgb="FFFFFFFF"/>
        <rFont val="Arial"/>
        <family val="0"/>
        <charset val="1"/>
      </rPr>
      <t xml:space="preserve">A1 </t>
    </r>
    <r>
      <rPr>
        <b val="true"/>
        <sz val="10"/>
        <color rgb="FFFFFFFF"/>
        <rFont val="WenQuanYi Zen Hei"/>
        <family val="2"/>
      </rPr>
      <t xml:space="preserve">數值</t>
    </r>
  </si>
  <si>
    <t xml:space="preserve">當前倍數</t>
  </si>
  <si>
    <r>
      <rPr>
        <b val="true"/>
        <sz val="10"/>
        <color rgb="FFFFFFFF"/>
        <rFont val="Arial"/>
        <family val="0"/>
        <charset val="1"/>
      </rPr>
      <t xml:space="preserve">A1 </t>
    </r>
    <r>
      <rPr>
        <b val="true"/>
        <sz val="10"/>
        <color rgb="FFFFFFFF"/>
        <rFont val="WenQuanYi Zen Hei"/>
        <family val="2"/>
      </rPr>
      <t xml:space="preserve">價值</t>
    </r>
  </si>
  <si>
    <r>
      <rPr>
        <b val="true"/>
        <sz val="10"/>
        <color rgb="FFFFFFFF"/>
        <rFont val="Arial"/>
        <family val="0"/>
        <charset val="1"/>
      </rPr>
      <t xml:space="preserve">A2 </t>
    </r>
    <r>
      <rPr>
        <b val="true"/>
        <sz val="10"/>
        <color rgb="FFFFFFFF"/>
        <rFont val="WenQuanYi Zen Hei"/>
        <family val="2"/>
      </rPr>
      <t xml:space="preserve">指標</t>
    </r>
  </si>
  <si>
    <r>
      <rPr>
        <b val="true"/>
        <sz val="10"/>
        <color rgb="FFFFFFFF"/>
        <rFont val="Arial"/>
        <family val="0"/>
        <charset val="1"/>
      </rPr>
      <t xml:space="preserve">A2 </t>
    </r>
    <r>
      <rPr>
        <b val="true"/>
        <sz val="10"/>
        <color rgb="FFFFFFFF"/>
        <rFont val="WenQuanYi Zen Hei"/>
        <family val="2"/>
      </rPr>
      <t xml:space="preserve">數值</t>
    </r>
  </si>
  <si>
    <t xml:space="preserve">目標倍數</t>
  </si>
  <si>
    <r>
      <rPr>
        <b val="true"/>
        <sz val="10"/>
        <color rgb="FFFFFFFF"/>
        <rFont val="Arial"/>
        <family val="0"/>
        <charset val="1"/>
      </rPr>
      <t xml:space="preserve">A2 </t>
    </r>
    <r>
      <rPr>
        <b val="true"/>
        <sz val="10"/>
        <color rgb="FFFFFFFF"/>
        <rFont val="WenQuanYi Zen Hei"/>
        <family val="2"/>
      </rPr>
      <t xml:space="preserve">價值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</si>
  <si>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方法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</si>
  <si>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基數 </t>
    </r>
    <r>
      <rPr>
        <b val="true"/>
        <sz val="10"/>
        <color rgb="FFFFFFFF"/>
        <rFont val="Arial"/>
        <family val="0"/>
        <charset val="1"/>
      </rPr>
      <t xml:space="preserve">(Fwd)</t>
    </r>
  </si>
  <si>
    <r>
      <rPr>
        <b val="true"/>
        <sz val="10"/>
        <color rgb="FFFFFFFF"/>
        <rFont val="WenQuanYi Zen Hei"/>
        <family val="2"/>
      </rPr>
      <t xml:space="preserve">轉換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派息率</t>
    </r>
  </si>
  <si>
    <t xml:space="preserve">CF1 ($)</t>
  </si>
  <si>
    <t xml:space="preserve">Beta</t>
  </si>
  <si>
    <t xml:space="preserve">r</t>
  </si>
  <si>
    <r>
      <rPr>
        <b val="true"/>
        <sz val="10"/>
        <color rgb="FFFFFFFF"/>
        <rFont val="Arial"/>
        <family val="0"/>
        <charset val="1"/>
      </rPr>
      <t xml:space="preserve">g1 (1–5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</si>
  <si>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gT</t>
  </si>
  <si>
    <t xml:space="preserve">每股調整</t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</si>
  <si>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價值</t>
    </r>
  </si>
  <si>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WenQuanYi Zen Hei"/>
        <family val="2"/>
      </rPr>
      <t xml:space="preserve">共識目標</t>
    </r>
  </si>
  <si>
    <t xml:space="preserve">安全邊際</t>
  </si>
  <si>
    <t xml:space="preserve">估值判定</t>
  </si>
  <si>
    <r>
      <rPr>
        <b val="true"/>
        <sz val="10"/>
        <color rgb="FFFFFFFF"/>
        <rFont val="WenQuanYi Zen Hei"/>
        <family val="2"/>
      </rPr>
      <t xml:space="preserve">反向</t>
    </r>
    <r>
      <rPr>
        <b val="true"/>
        <sz val="10"/>
        <color rgb="FFFFFFFF"/>
        <rFont val="Arial"/>
        <family val="0"/>
        <charset val="1"/>
      </rPr>
      <t xml:space="preserve">DCF </t>
    </r>
    <r>
      <rPr>
        <b val="true"/>
        <sz val="10"/>
        <color rgb="FFFFFFFF"/>
        <rFont val="WenQuanYi Zen Hei"/>
        <family val="2"/>
      </rPr>
      <t xml:space="preserve">隱含永續</t>
    </r>
    <r>
      <rPr>
        <b val="true"/>
        <sz val="10"/>
        <color rgb="FFFFFFFF"/>
        <rFont val="Arial"/>
        <family val="0"/>
        <charset val="1"/>
      </rPr>
      <t xml:space="preserve">g</t>
    </r>
  </si>
  <si>
    <r>
      <rPr>
        <b val="true"/>
        <sz val="10"/>
        <color rgb="FFFFFFFF"/>
        <rFont val="WenQuanYi Zen Hei"/>
        <family val="2"/>
      </rPr>
      <t xml:space="preserve">隱含</t>
    </r>
    <r>
      <rPr>
        <b val="true"/>
        <sz val="10"/>
        <color rgb="FFFFFFFF"/>
        <rFont val="Arial"/>
        <family val="0"/>
        <charset val="1"/>
      </rPr>
      <t xml:space="preserve">g − gT</t>
    </r>
  </si>
  <si>
    <t xml:space="preserve">方法備註</t>
  </si>
  <si>
    <t xml:space="preserve">BVPS</t>
  </si>
  <si>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行業</t>
    </r>
  </si>
  <si>
    <r>
      <rPr>
        <sz val="10"/>
        <color rgb="FF000000"/>
        <rFont val="WenQuanYi Zen Hei"/>
        <family val="2"/>
      </rPr>
      <t xml:space="preserve">營運</t>
    </r>
    <r>
      <rPr>
        <sz val="10"/>
        <color rgb="FF000000"/>
        <rFont val="Arial"/>
        <family val="0"/>
        <charset val="1"/>
      </rPr>
      <t xml:space="preserve">EPS DCF</t>
    </r>
  </si>
  <si>
    <r>
      <rPr>
        <i val="true"/>
        <sz val="8"/>
        <color rgb="FF595959"/>
        <rFont val="Arial"/>
        <family val="0"/>
        <charset val="1"/>
      </rPr>
      <t xml:space="preserve">A1/A2 </t>
    </r>
    <r>
      <rPr>
        <i val="true"/>
        <sz val="8"/>
        <color rgb="FF595959"/>
        <rFont val="WenQuanYi Zen Hei"/>
        <family val="2"/>
      </rPr>
      <t xml:space="preserve">用 </t>
    </r>
    <r>
      <rPr>
        <i val="true"/>
        <sz val="8"/>
        <color rgb="FF595959"/>
        <rFont val="Arial"/>
        <family val="0"/>
        <charset val="1"/>
      </rPr>
      <t xml:space="preserve">P/B </t>
    </r>
    <r>
      <rPr>
        <i val="true"/>
        <sz val="8"/>
        <color rgb="FF595959"/>
        <rFont val="WenQuanYi Zen Hei"/>
        <family val="2"/>
      </rPr>
      <t xml:space="preserve">區間；</t>
    </r>
    <r>
      <rPr>
        <i val="true"/>
        <sz val="8"/>
        <color rgb="FF595959"/>
        <rFont val="Arial"/>
        <family val="0"/>
        <charset val="1"/>
      </rPr>
      <t xml:space="preserve">B=2027E </t>
    </r>
    <r>
      <rPr>
        <i val="true"/>
        <sz val="8"/>
        <color rgb="FF595959"/>
        <rFont val="WenQuanYi Zen Hei"/>
        <family val="2"/>
      </rPr>
      <t xml:space="preserve">營運 </t>
    </r>
    <r>
      <rPr>
        <i val="true"/>
        <sz val="8"/>
        <color rgb="FF595959"/>
        <rFont val="Arial"/>
        <family val="0"/>
        <charset val="1"/>
      </rPr>
      <t xml:space="preserve">EPS </t>
    </r>
    <r>
      <rPr>
        <i val="true"/>
        <sz val="8"/>
        <color rgb="FF595959"/>
        <rFont val="WenQuanYi Zen Hei"/>
        <family val="2"/>
      </rPr>
      <t xml:space="preserve">兩階段 </t>
    </r>
    <r>
      <rPr>
        <i val="true"/>
        <sz val="8"/>
        <color rgb="FF595959"/>
        <rFont val="Arial"/>
        <family val="0"/>
        <charset val="1"/>
      </rPr>
      <t xml:space="preserve">DCF + </t>
    </r>
    <r>
      <rPr>
        <i val="true"/>
        <sz val="8"/>
        <color rgb="FF595959"/>
        <rFont val="WenQuanYi Zen Hei"/>
        <family val="2"/>
      </rPr>
      <t xml:space="preserve">超額現金每股 </t>
    </r>
    <r>
      <rPr>
        <i val="true"/>
        <sz val="8"/>
        <color rgb="FF595959"/>
        <rFont val="Arial"/>
        <family val="0"/>
        <charset val="1"/>
      </rPr>
      <t xml:space="preserve">$77.8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($3,655</t>
    </r>
    <r>
      <rPr>
        <i val="true"/>
        <sz val="8"/>
        <color rgb="FF595959"/>
        <rFont val="WenQuanYi Zen Hei"/>
        <family val="2"/>
      </rPr>
      <t xml:space="preserve">億−</t>
    </r>
    <r>
      <rPr>
        <i val="true"/>
        <sz val="8"/>
        <color rgb="FF595959"/>
        <rFont val="Arial"/>
        <family val="0"/>
        <charset val="1"/>
      </rPr>
      <t xml:space="preserve">$300</t>
    </r>
    <r>
      <rPr>
        <i val="true"/>
        <sz val="8"/>
        <color rgb="FF595959"/>
        <rFont val="WenQuanYi Zen Hei"/>
        <family val="2"/>
      </rPr>
      <t xml:space="preserve">億回購底線</t>
    </r>
    <r>
      <rPr>
        <i val="true"/>
        <sz val="8"/>
        <color rgb="FF595959"/>
        <rFont val="Arial"/>
        <family val="0"/>
        <charset val="1"/>
      </rPr>
      <t xml:space="preserve">)×50%</t>
    </r>
    <r>
      <rPr>
        <i val="true"/>
        <sz val="8"/>
        <color rgb="FF595959"/>
        <rFont val="WenQuanYi Zen Hei"/>
        <family val="2"/>
      </rPr>
      <t xml:space="preserve">折讓</t>
    </r>
    <r>
      <rPr>
        <i val="true"/>
        <sz val="8"/>
        <color rgb="FF595959"/>
        <rFont val="Arial"/>
        <family val="0"/>
        <charset val="1"/>
      </rPr>
      <t xml:space="preserve">÷21.57</t>
    </r>
    <r>
      <rPr>
        <i val="true"/>
        <sz val="8"/>
        <color rgb="FF595959"/>
        <rFont val="WenQuanYi Zen Hei"/>
        <family val="2"/>
      </rPr>
      <t xml:space="preserve">億股）</t>
    </r>
  </si>
  <si>
    <t xml:space="preserve">EPS TTM</t>
  </si>
  <si>
    <r>
      <rPr>
        <sz val="10"/>
        <color rgb="FF000000"/>
        <rFont val="WenQuanYi Zen Hei"/>
        <family val="2"/>
      </rPr>
      <t xml:space="preserve">可分配盈利 </t>
    </r>
    <r>
      <rPr>
        <sz val="10"/>
        <color rgb="FF000000"/>
        <rFont val="Arial"/>
        <family val="0"/>
        <charset val="1"/>
      </rPr>
      <t xml:space="preserve">DCF</t>
    </r>
  </si>
  <si>
    <r>
      <rPr>
        <i val="true"/>
        <sz val="8"/>
        <color rgb="FF595959"/>
        <rFont val="WenQuanYi Zen Hei"/>
        <family val="2"/>
      </rPr>
      <t xml:space="preserve">轉換率</t>
    </r>
    <r>
      <rPr>
        <i val="true"/>
        <sz val="8"/>
        <color rgb="FF595959"/>
        <rFont val="Arial"/>
        <family val="0"/>
        <charset val="1"/>
      </rPr>
      <t xml:space="preserve">=1−g/ROE=1−5%/17.5%</t>
    </r>
    <r>
      <rPr>
        <i val="true"/>
        <sz val="8"/>
        <color rgb="FF595959"/>
        <rFont val="WenQuanYi Zen Hei"/>
        <family val="2"/>
      </rPr>
      <t xml:space="preserve">（留存支持增長）；等同合理 </t>
    </r>
    <r>
      <rPr>
        <i val="true"/>
        <sz val="8"/>
        <color rgb="FF595959"/>
        <rFont val="Arial"/>
        <family val="0"/>
        <charset val="1"/>
      </rPr>
      <t xml:space="preserve">P/B </t>
    </r>
    <r>
      <rPr>
        <i val="true"/>
        <sz val="8"/>
        <color rgb="FF595959"/>
        <rFont val="WenQuanYi Zen Hei"/>
        <family val="2"/>
      </rPr>
      <t xml:space="preserve">框架。</t>
    </r>
    <r>
      <rPr>
        <i val="true"/>
        <sz val="8"/>
        <color rgb="FF595959"/>
        <rFont val="Arial"/>
        <family val="0"/>
        <charset val="1"/>
      </rPr>
      <t xml:space="preserve">A2 </t>
    </r>
    <r>
      <rPr>
        <i val="true"/>
        <sz val="8"/>
        <color rgb="FF595959"/>
        <rFont val="WenQuanYi Zen Hei"/>
        <family val="2"/>
      </rPr>
      <t xml:space="preserve">用行業中位 </t>
    </r>
    <r>
      <rPr>
        <i val="true"/>
        <sz val="8"/>
        <color rgb="FF595959"/>
        <rFont val="Arial"/>
        <family val="0"/>
        <charset val="1"/>
      </rPr>
      <t xml:space="preserve">P/E 11.99x</t>
    </r>
  </si>
  <si>
    <t xml:space="preserve">FCF DCF</t>
  </si>
  <si>
    <r>
      <rPr>
        <i val="true"/>
        <sz val="8"/>
        <color rgb="FF595959"/>
        <rFont val="Arial"/>
        <family val="0"/>
        <charset val="1"/>
      </rPr>
      <t xml:space="preserve">FCF≈</t>
    </r>
    <r>
      <rPr>
        <i val="true"/>
        <sz val="8"/>
        <color rgb="FF595959"/>
        <rFont val="WenQuanYi Zen Hei"/>
        <family val="2"/>
      </rPr>
      <t xml:space="preserve">淨利（轉換率 </t>
    </r>
    <r>
      <rPr>
        <i val="true"/>
        <sz val="8"/>
        <color rgb="FF595959"/>
        <rFont val="Arial"/>
        <family val="0"/>
        <charset val="1"/>
      </rPr>
      <t xml:space="preserve">&gt;100%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A2 </t>
    </r>
    <r>
      <rPr>
        <i val="true"/>
        <sz val="8"/>
        <color rgb="FF595959"/>
        <rFont val="WenQuanYi Zen Hei"/>
        <family val="2"/>
      </rPr>
      <t xml:space="preserve">目標倍數取 </t>
    </r>
    <r>
      <rPr>
        <i val="true"/>
        <sz val="8"/>
        <color rgb="FF595959"/>
        <rFont val="Arial"/>
        <family val="0"/>
        <charset val="1"/>
      </rPr>
      <t xml:space="preserve">MA </t>
    </r>
    <r>
      <rPr>
        <i val="true"/>
        <sz val="8"/>
        <color rgb="FF595959"/>
        <rFont val="WenQuanYi Zen Hei"/>
        <family val="2"/>
      </rPr>
      <t xml:space="preserve">當前 </t>
    </r>
    <r>
      <rPr>
        <i val="true"/>
        <sz val="8"/>
        <color rgb="FF595959"/>
        <rFont val="Arial"/>
        <family val="0"/>
        <charset val="1"/>
      </rPr>
      <t xml:space="preserve">P/E 31.75x</t>
    </r>
    <r>
      <rPr>
        <i val="true"/>
        <sz val="8"/>
        <color rgb="FF595959"/>
        <rFont val="WenQuanYi Zen Hei"/>
        <family val="2"/>
      </rPr>
      <t xml:space="preserve">（行業中位 </t>
    </r>
    <r>
      <rPr>
        <i val="true"/>
        <sz val="8"/>
        <color rgb="FF595959"/>
        <rFont val="Arial"/>
        <family val="0"/>
        <charset val="1"/>
      </rPr>
      <t xml:space="preserve">14x </t>
    </r>
    <r>
      <rPr>
        <i val="true"/>
        <sz val="8"/>
        <color rgb="FF595959"/>
        <rFont val="WenQuanYi Zen Hei"/>
        <family val="2"/>
      </rPr>
      <t xml:space="preserve">無可比性）</t>
    </r>
  </si>
  <si>
    <t xml:space="preserve">DDM</t>
  </si>
  <si>
    <r>
      <rPr>
        <i val="true"/>
        <sz val="8"/>
        <color rgb="FF595959"/>
        <rFont val="Arial"/>
        <family val="0"/>
        <charset val="1"/>
      </rPr>
      <t xml:space="preserve">DDM</t>
    </r>
    <r>
      <rPr>
        <i val="true"/>
        <sz val="8"/>
        <color rgb="FF595959"/>
        <rFont val="WenQuanYi Zen Hei"/>
        <family val="2"/>
      </rPr>
      <t xml:space="preserve">：</t>
    </r>
    <r>
      <rPr>
        <i val="true"/>
        <sz val="8"/>
        <color rgb="FF595959"/>
        <rFont val="Arial"/>
        <family val="0"/>
        <charset val="1"/>
      </rPr>
      <t xml:space="preserve">CF1=Fwd EPS×</t>
    </r>
    <r>
      <rPr>
        <i val="true"/>
        <sz val="8"/>
        <color rgb="FF595959"/>
        <rFont val="WenQuanYi Zen Hei"/>
        <family val="2"/>
      </rPr>
      <t xml:space="preserve">派息率 </t>
    </r>
    <r>
      <rPr>
        <i val="true"/>
        <sz val="8"/>
        <color rgb="FF595959"/>
        <rFont val="Arial"/>
        <family val="0"/>
        <charset val="1"/>
      </rPr>
      <t xml:space="preserve">62%</t>
    </r>
    <r>
      <rPr>
        <i val="true"/>
        <sz val="8"/>
        <color rgb="FF595959"/>
        <rFont val="WenQuanYi Zen Hei"/>
        <family val="2"/>
      </rPr>
      <t xml:space="preserve">（≈當前 </t>
    </r>
    <r>
      <rPr>
        <i val="true"/>
        <sz val="8"/>
        <color rgb="FF595959"/>
        <rFont val="Arial"/>
        <family val="0"/>
        <charset val="1"/>
      </rPr>
      <t xml:space="preserve">DPS $2.44×1.06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5Y </t>
    </r>
    <r>
      <rPr>
        <i val="true"/>
        <sz val="8"/>
        <color rgb="FF595959"/>
        <rFont val="WenQuanYi Zen Hei"/>
        <family val="2"/>
      </rPr>
      <t xml:space="preserve">中位 </t>
    </r>
    <r>
      <rPr>
        <i val="true"/>
        <sz val="8"/>
        <color rgb="FF595959"/>
        <rFont val="Arial"/>
        <family val="0"/>
        <charset val="1"/>
      </rPr>
      <t xml:space="preserve">25x </t>
    </r>
    <r>
      <rPr>
        <i val="true"/>
        <sz val="8"/>
        <color rgb="FF595959"/>
        <rFont val="WenQuanYi Zen Hei"/>
        <family val="2"/>
      </rPr>
      <t xml:space="preserve">含零利率時期，偏高</t>
    </r>
  </si>
  <si>
    <r>
      <rPr>
        <i val="true"/>
        <sz val="8"/>
        <color rgb="FF595959"/>
        <rFont val="Arial"/>
        <family val="0"/>
        <charset val="1"/>
      </rPr>
      <t xml:space="preserve">A2 </t>
    </r>
    <r>
      <rPr>
        <i val="true"/>
        <sz val="8"/>
        <color rgb="FF595959"/>
        <rFont val="WenQuanYi Zen Hei"/>
        <family val="2"/>
      </rPr>
      <t xml:space="preserve">目標倍數取 </t>
    </r>
    <r>
      <rPr>
        <i val="true"/>
        <sz val="8"/>
        <color rgb="FF595959"/>
        <rFont val="Arial"/>
        <family val="0"/>
        <charset val="1"/>
      </rPr>
      <t xml:space="preserve">VST 26.7x</t>
    </r>
    <r>
      <rPr>
        <i val="true"/>
        <sz val="8"/>
        <color rgb="FF595959"/>
        <rFont val="WenQuanYi Zen Hei"/>
        <family val="2"/>
      </rPr>
      <t xml:space="preserve">（同為 </t>
    </r>
    <r>
      <rPr>
        <i val="true"/>
        <sz val="8"/>
        <color rgb="FF595959"/>
        <rFont val="Arial"/>
        <family val="0"/>
        <charset val="1"/>
      </rPr>
      <t xml:space="preserve">IPP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2026 </t>
    </r>
    <r>
      <rPr>
        <i val="true"/>
        <sz val="8"/>
        <color rgb="FF595959"/>
        <rFont val="WenQuanYi Zen Hei"/>
        <family val="2"/>
      </rPr>
      <t xml:space="preserve">調整後 </t>
    </r>
    <r>
      <rPr>
        <i val="true"/>
        <sz val="8"/>
        <color rgb="FF595959"/>
        <rFont val="Arial"/>
        <family val="0"/>
        <charset val="1"/>
      </rPr>
      <t xml:space="preserve">EPS </t>
    </r>
    <r>
      <rPr>
        <i val="true"/>
        <sz val="8"/>
        <color rgb="FF595959"/>
        <rFont val="WenQuanYi Zen Hei"/>
        <family val="2"/>
      </rPr>
      <t xml:space="preserve">指引 </t>
    </r>
    <r>
      <rPr>
        <i val="true"/>
        <sz val="8"/>
        <color rgb="FF595959"/>
        <rFont val="Arial"/>
        <family val="0"/>
        <charset val="1"/>
      </rPr>
      <t xml:space="preserve">$11–12</t>
    </r>
  </si>
  <si>
    <r>
      <rPr>
        <i val="true"/>
        <sz val="8"/>
        <color rgb="FF595959"/>
        <rFont val="Arial"/>
        <family val="0"/>
        <charset val="1"/>
      </rPr>
      <t xml:space="preserve">DDM</t>
    </r>
    <r>
      <rPr>
        <i val="true"/>
        <sz val="8"/>
        <color rgb="FF595959"/>
        <rFont val="WenQuanYi Zen Hei"/>
        <family val="2"/>
      </rPr>
      <t xml:space="preserve">：派息率 </t>
    </r>
    <r>
      <rPr>
        <i val="true"/>
        <sz val="8"/>
        <color rgb="FF595959"/>
        <rFont val="Arial"/>
        <family val="0"/>
        <charset val="1"/>
      </rPr>
      <t xml:space="preserve">66%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DPS≈$3.0</t>
    </r>
    <r>
      <rPr>
        <i val="true"/>
        <sz val="8"/>
        <color rgb="FF595959"/>
        <rFont val="WenQuanYi Zen Hei"/>
        <family val="2"/>
      </rPr>
      <t xml:space="preserve">）；管理層指引 </t>
    </r>
    <r>
      <rPr>
        <i val="true"/>
        <sz val="8"/>
        <color rgb="FF595959"/>
        <rFont val="Arial"/>
        <family val="0"/>
        <charset val="1"/>
      </rPr>
      <t xml:space="preserve">2028 </t>
    </r>
    <r>
      <rPr>
        <i val="true"/>
        <sz val="8"/>
        <color rgb="FF595959"/>
        <rFont val="WenQuanYi Zen Hei"/>
        <family val="2"/>
      </rPr>
      <t xml:space="preserve">前 </t>
    </r>
    <r>
      <rPr>
        <i val="true"/>
        <sz val="8"/>
        <color rgb="FF595959"/>
        <rFont val="Arial"/>
        <family val="0"/>
        <charset val="1"/>
      </rPr>
      <t xml:space="preserve">EPS </t>
    </r>
    <r>
      <rPr>
        <i val="true"/>
        <sz val="8"/>
        <color rgb="FF595959"/>
        <rFont val="WenQuanYi Zen Hei"/>
        <family val="2"/>
      </rPr>
      <t xml:space="preserve">增速 </t>
    </r>
    <r>
      <rPr>
        <i val="true"/>
        <sz val="8"/>
        <color rgb="FF595959"/>
        <rFont val="Arial"/>
        <family val="0"/>
        <charset val="1"/>
      </rPr>
      <t xml:space="preserve">8–9%</t>
    </r>
    <r>
      <rPr>
        <i val="true"/>
        <sz val="8"/>
        <color rgb="FF595959"/>
        <rFont val="WenQuanYi Zen Hei"/>
        <family val="2"/>
      </rPr>
      <t xml:space="preserve">（取 </t>
    </r>
    <r>
      <rPr>
        <i val="true"/>
        <sz val="8"/>
        <color rgb="FF595959"/>
        <rFont val="Arial"/>
        <family val="0"/>
        <charset val="1"/>
      </rPr>
      <t xml:space="preserve">7% </t>
    </r>
    <r>
      <rPr>
        <i val="true"/>
        <sz val="8"/>
        <color rgb="FF595959"/>
        <rFont val="WenQuanYi Zen Hei"/>
        <family val="2"/>
      </rPr>
      <t xml:space="preserve">保守）</t>
    </r>
  </si>
  <si>
    <t xml:space="preserve">FFO 2026E</t>
  </si>
  <si>
    <t xml:space="preserve">AFFO DCF</t>
  </si>
  <si>
    <r>
      <rPr>
        <i val="true"/>
        <sz val="8"/>
        <color rgb="FF595959"/>
        <rFont val="Arial"/>
        <family val="0"/>
        <charset val="1"/>
      </rPr>
      <t xml:space="preserve">A2/B </t>
    </r>
    <r>
      <rPr>
        <i val="true"/>
        <sz val="8"/>
        <color rgb="FF595959"/>
        <rFont val="WenQuanYi Zen Hei"/>
        <family val="2"/>
      </rPr>
      <t xml:space="preserve">基數用 </t>
    </r>
    <r>
      <rPr>
        <i val="true"/>
        <sz val="8"/>
        <color rgb="FF595959"/>
        <rFont val="Arial"/>
        <family val="0"/>
        <charset val="1"/>
      </rPr>
      <t xml:space="preserve">2026 </t>
    </r>
    <r>
      <rPr>
        <i val="true"/>
        <sz val="8"/>
        <color rgb="FF595959"/>
        <rFont val="WenQuanYi Zen Hei"/>
        <family val="2"/>
      </rPr>
      <t xml:space="preserve">正常化 </t>
    </r>
    <r>
      <rPr>
        <i val="true"/>
        <sz val="8"/>
        <color rgb="FF595959"/>
        <rFont val="Arial"/>
        <family val="0"/>
        <charset val="1"/>
      </rPr>
      <t xml:space="preserve">FFO </t>
    </r>
    <r>
      <rPr>
        <i val="true"/>
        <sz val="8"/>
        <color rgb="FF595959"/>
        <rFont val="WenQuanYi Zen Hei"/>
        <family val="2"/>
      </rPr>
      <t xml:space="preserve">指引中值 </t>
    </r>
    <r>
      <rPr>
        <i val="true"/>
        <sz val="8"/>
        <color rgb="FF595959"/>
        <rFont val="Arial"/>
        <family val="0"/>
        <charset val="1"/>
      </rPr>
      <t xml:space="preserve">$6.40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8-K 7/27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AFFO≈90% FFO</t>
    </r>
    <r>
      <rPr>
        <i val="true"/>
        <sz val="8"/>
        <color rgb="FF595959"/>
        <rFont val="WenQuanYi Zen Hei"/>
        <family val="2"/>
      </rPr>
      <t xml:space="preserve">；目標 </t>
    </r>
    <r>
      <rPr>
        <i val="true"/>
        <sz val="8"/>
        <color rgb="FF595959"/>
        <rFont val="Arial"/>
        <family val="0"/>
        <charset val="1"/>
      </rPr>
      <t xml:space="preserve">P/FFO 25x </t>
    </r>
    <r>
      <rPr>
        <i val="true"/>
        <sz val="8"/>
        <color rgb="FF595959"/>
        <rFont val="WenQuanYi Zen Hei"/>
        <family val="2"/>
      </rPr>
      <t xml:space="preserve">為分析師估計</t>
    </r>
  </si>
  <si>
    <t xml:space="preserve">Core FFO 2026E</t>
  </si>
  <si>
    <r>
      <rPr>
        <i val="true"/>
        <sz val="8"/>
        <color rgb="FF595959"/>
        <rFont val="Arial"/>
        <family val="0"/>
        <charset val="1"/>
      </rPr>
      <t xml:space="preserve">Core FFO </t>
    </r>
    <r>
      <rPr>
        <i val="true"/>
        <sz val="8"/>
        <color rgb="FF595959"/>
        <rFont val="WenQuanYi Zen Hei"/>
        <family val="2"/>
      </rPr>
      <t xml:space="preserve">指引中值 </t>
    </r>
    <r>
      <rPr>
        <i val="true"/>
        <sz val="8"/>
        <color rgb="FF595959"/>
        <rFont val="Arial"/>
        <family val="0"/>
        <charset val="1"/>
      </rPr>
      <t xml:space="preserve">$6.26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$6.22–6.30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AFFO≈85%</t>
    </r>
    <r>
      <rPr>
        <i val="true"/>
        <sz val="8"/>
        <color rgb="FF595959"/>
        <rFont val="WenQuanYi Zen Hei"/>
        <family val="2"/>
      </rPr>
      <t xml:space="preserve">；目標 </t>
    </r>
    <r>
      <rPr>
        <i val="true"/>
        <sz val="8"/>
        <color rgb="FF595959"/>
        <rFont val="Arial"/>
        <family val="0"/>
        <charset val="1"/>
      </rPr>
      <t xml:space="preserve">P/FFO 22x</t>
    </r>
    <r>
      <rPr>
        <i val="true"/>
        <sz val="8"/>
        <color rgb="FF595959"/>
        <rFont val="WenQuanYi Zen Hei"/>
        <family val="2"/>
      </rPr>
      <t xml:space="preserve">（物流 </t>
    </r>
    <r>
      <rPr>
        <i val="true"/>
        <sz val="8"/>
        <color rgb="FF595959"/>
        <rFont val="Arial"/>
        <family val="0"/>
        <charset val="1"/>
      </rPr>
      <t xml:space="preserve">REIT </t>
    </r>
    <r>
      <rPr>
        <i val="true"/>
        <sz val="8"/>
        <color rgb="FF595959"/>
        <rFont val="WenQuanYi Zen Hei"/>
        <family val="2"/>
      </rPr>
      <t xml:space="preserve">歷史中樞，估計）</t>
    </r>
  </si>
  <si>
    <t xml:space="preserve">AFFO 2026E</t>
  </si>
  <si>
    <r>
      <rPr>
        <i val="true"/>
        <sz val="8"/>
        <color rgb="FF595959"/>
        <rFont val="Arial"/>
        <family val="0"/>
        <charset val="1"/>
      </rPr>
      <t xml:space="preserve">AFFO </t>
    </r>
    <r>
      <rPr>
        <i val="true"/>
        <sz val="8"/>
        <color rgb="FF595959"/>
        <rFont val="WenQuanYi Zen Hei"/>
        <family val="2"/>
      </rPr>
      <t xml:space="preserve">指引中值 </t>
    </r>
    <r>
      <rPr>
        <i val="true"/>
        <sz val="8"/>
        <color rgb="FF595959"/>
        <rFont val="Arial"/>
        <family val="0"/>
        <charset val="1"/>
      </rPr>
      <t xml:space="preserve">$42.99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$42.69–43.29</t>
    </r>
    <r>
      <rPr>
        <i val="true"/>
        <sz val="8"/>
        <color rgb="FF595959"/>
        <rFont val="WenQuanYi Zen Hei"/>
        <family val="2"/>
      </rPr>
      <t xml:space="preserve">）；目標 </t>
    </r>
    <r>
      <rPr>
        <i val="true"/>
        <sz val="8"/>
        <color rgb="FF595959"/>
        <rFont val="Arial"/>
        <family val="0"/>
        <charset val="1"/>
      </rPr>
      <t xml:space="preserve">P/AFFO 24x</t>
    </r>
    <r>
      <rPr>
        <i val="true"/>
        <sz val="8"/>
        <color rgb="FF595959"/>
        <rFont val="WenQuanYi Zen Hei"/>
        <family val="2"/>
      </rPr>
      <t xml:space="preserve">（估計）</t>
    </r>
  </si>
  <si>
    <r>
      <rPr>
        <i val="true"/>
        <sz val="8"/>
        <color rgb="FF595959"/>
        <rFont val="Arial"/>
        <family val="0"/>
        <charset val="1"/>
      </rPr>
      <t xml:space="preserve">2026 </t>
    </r>
    <r>
      <rPr>
        <i val="true"/>
        <sz val="8"/>
        <color rgb="FF595959"/>
        <rFont val="WenQuanYi Zen Hei"/>
        <family val="2"/>
      </rPr>
      <t xml:space="preserve">調整後 </t>
    </r>
    <r>
      <rPr>
        <i val="true"/>
        <sz val="8"/>
        <color rgb="FF595959"/>
        <rFont val="Arial"/>
        <family val="0"/>
        <charset val="1"/>
      </rPr>
      <t xml:space="preserve">EPS </t>
    </r>
    <r>
      <rPr>
        <i val="true"/>
        <sz val="8"/>
        <color rgb="FF595959"/>
        <rFont val="WenQuanYi Zen Hei"/>
        <family val="2"/>
      </rPr>
      <t xml:space="preserve">指引 </t>
    </r>
    <r>
      <rPr>
        <i val="true"/>
        <sz val="8"/>
        <color rgb="FF595959"/>
        <rFont val="Arial"/>
        <family val="0"/>
        <charset val="1"/>
      </rPr>
      <t xml:space="preserve">$17.70–17.90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+8–9%</t>
    </r>
    <r>
      <rPr>
        <i val="true"/>
        <sz val="8"/>
        <color rgb="FF595959"/>
        <rFont val="WenQuanYi Zen Hei"/>
        <family val="2"/>
      </rPr>
      <t xml:space="preserve">）；</t>
    </r>
    <r>
      <rPr>
        <i val="true"/>
        <sz val="8"/>
        <color rgb="FF595959"/>
        <rFont val="Arial"/>
        <family val="0"/>
        <charset val="1"/>
      </rPr>
      <t xml:space="preserve">FCF </t>
    </r>
    <r>
      <rPr>
        <i val="true"/>
        <sz val="8"/>
        <color rgb="FF595959"/>
        <rFont val="WenQuanYi Zen Hei"/>
        <family val="2"/>
      </rPr>
      <t xml:space="preserve">轉換率 </t>
    </r>
    <r>
      <rPr>
        <i val="true"/>
        <sz val="8"/>
        <color rgb="FF595959"/>
        <rFont val="Arial"/>
        <family val="0"/>
        <charset val="1"/>
      </rPr>
      <t xml:space="preserve">85%</t>
    </r>
    <r>
      <rPr>
        <i val="true"/>
        <sz val="8"/>
        <color rgb="FF595959"/>
        <rFont val="WenQuanYi Zen Hei"/>
        <family val="2"/>
      </rPr>
      <t xml:space="preserve">（增長型資本開支）</t>
    </r>
  </si>
  <si>
    <r>
      <rPr>
        <sz val="10"/>
        <color rgb="FF000000"/>
        <rFont val="WenQuanYi Zen Hei"/>
        <family val="2"/>
      </rPr>
      <t xml:space="preserve">正常化 </t>
    </r>
    <r>
      <rPr>
        <sz val="10"/>
        <color rgb="FF000000"/>
        <rFont val="Arial"/>
        <family val="0"/>
        <charset val="1"/>
      </rPr>
      <t xml:space="preserve">DCF</t>
    </r>
  </si>
  <si>
    <r>
      <rPr>
        <i val="true"/>
        <sz val="8"/>
        <color rgb="FF595959"/>
        <rFont val="Arial"/>
        <family val="0"/>
        <charset val="1"/>
      </rPr>
      <t xml:space="preserve">g1=−8% </t>
    </r>
    <r>
      <rPr>
        <i val="true"/>
        <sz val="8"/>
        <color rgb="FF595959"/>
        <rFont val="WenQuanYi Zen Hei"/>
        <family val="2"/>
      </rPr>
      <t xml:space="preserve">反映金價由 </t>
    </r>
    <r>
      <rPr>
        <i val="true"/>
        <sz val="8"/>
        <color rgb="FF595959"/>
        <rFont val="Arial"/>
        <family val="0"/>
        <charset val="1"/>
      </rPr>
      <t xml:space="preserve">~$4,500 </t>
    </r>
    <r>
      <rPr>
        <i val="true"/>
        <sz val="8"/>
        <color rgb="FF595959"/>
        <rFont val="WenQuanYi Zen Hei"/>
        <family val="2"/>
      </rPr>
      <t xml:space="preserve">向中週期回歸假設；歷史區間僅 </t>
    </r>
    <r>
      <rPr>
        <i val="true"/>
        <sz val="8"/>
        <color rgb="FF595959"/>
        <rFont val="Arial"/>
        <family val="0"/>
        <charset val="1"/>
      </rPr>
      <t xml:space="preserve">1 </t>
    </r>
    <r>
      <rPr>
        <i val="true"/>
        <sz val="8"/>
        <color rgb="FF595959"/>
        <rFont val="WenQuanYi Zen Hei"/>
        <family val="2"/>
      </rPr>
      <t xml:space="preserve">年（高金價期）</t>
    </r>
  </si>
  <si>
    <r>
      <rPr>
        <i val="true"/>
        <sz val="8"/>
        <color rgb="FF595959"/>
        <rFont val="Arial"/>
        <family val="0"/>
        <charset val="1"/>
      </rPr>
      <t xml:space="preserve">Grasberg 2027 </t>
    </r>
    <r>
      <rPr>
        <i val="true"/>
        <sz val="8"/>
        <color rgb="FF595959"/>
        <rFont val="WenQuanYi Zen Hei"/>
        <family val="2"/>
      </rPr>
      <t xml:space="preserve">年底恢復滿產支撐量增，但銅價 </t>
    </r>
    <r>
      <rPr>
        <i val="true"/>
        <sz val="8"/>
        <color rgb="FF595959"/>
        <rFont val="Arial"/>
        <family val="0"/>
        <charset val="1"/>
      </rPr>
      <t xml:space="preserve">$6.5/lb </t>
    </r>
    <r>
      <rPr>
        <i val="true"/>
        <sz val="8"/>
        <color rgb="FF595959"/>
        <rFont val="WenQuanYi Zen Hei"/>
        <family val="2"/>
      </rPr>
      <t xml:space="preserve">處高位；</t>
    </r>
    <r>
      <rPr>
        <i val="true"/>
        <sz val="8"/>
        <color rgb="FF595959"/>
        <rFont val="Arial"/>
        <family val="0"/>
        <charset val="1"/>
      </rPr>
      <t xml:space="preserve">Beta 1.5</t>
    </r>
  </si>
  <si>
    <t xml:space="preserve">讀表說明</t>
  </si>
  <si>
    <r>
      <rPr>
        <sz val="10"/>
        <color rgb="FF000000"/>
        <rFont val="WenQuanYi Zen Hei"/>
        <family val="2"/>
      </rPr>
      <t xml:space="preserve">• 反向 </t>
    </r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WenQuanYi Zen Hei"/>
        <family val="2"/>
      </rPr>
      <t xml:space="preserve">：在當前股價下，市場隱含的永續增長率 </t>
    </r>
    <r>
      <rPr>
        <sz val="10"/>
        <color rgb="FF000000"/>
        <rFont val="Arial"/>
        <family val="0"/>
        <charset val="1"/>
      </rPr>
      <t xml:space="preserve">g = r − CF2/P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CF2 = CF1×(1+g1)</t>
    </r>
    <r>
      <rPr>
        <sz val="10"/>
        <color rgb="FF000000"/>
        <rFont val="WenQuanYi Zen Hei"/>
        <family val="2"/>
      </rPr>
      <t xml:space="preserve">，單階段 </t>
    </r>
    <r>
      <rPr>
        <sz val="10"/>
        <color rgb="FF000000"/>
        <rFont val="Arial"/>
        <family val="0"/>
        <charset val="1"/>
      </rPr>
      <t xml:space="preserve">Gordon </t>
    </r>
    <r>
      <rPr>
        <sz val="10"/>
        <color rgb="FF000000"/>
        <rFont val="WenQuanYi Zen Hei"/>
        <family val="2"/>
      </rPr>
      <t xml:space="preserve">反解）。隱含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遠高於 </t>
    </r>
    <r>
      <rPr>
        <sz val="10"/>
        <color rgb="FF000000"/>
        <rFont val="Arial"/>
        <family val="0"/>
        <charset val="1"/>
      </rPr>
      <t xml:space="preserve">gT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&gt; +1.5%</t>
    </r>
    <r>
      <rPr>
        <sz val="10"/>
        <color rgb="FF000000"/>
        <rFont val="WenQuanYi Zen Hei"/>
        <family val="2"/>
      </rPr>
      <t xml:space="preserve">）代表市場已定價高增長，容錯空間小。</t>
    </r>
  </si>
  <si>
    <r>
      <rPr>
        <sz val="10"/>
        <color rgb="FF000000"/>
        <rFont val="WenQuanYi Zen Hei"/>
        <family val="2"/>
      </rPr>
      <t xml:space="preserve">• 共識目標價（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）只佔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：分析師目標價有樂觀與追漲偏差，僅作情緒參考。</t>
    </r>
  </si>
  <si>
    <r>
      <rPr>
        <sz val="10"/>
        <color rgb="FF000000"/>
        <rFont val="Arial"/>
        <family val="0"/>
        <charset val="1"/>
      </rPr>
      <t xml:space="preserve">• REIT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值以 </t>
    </r>
    <r>
      <rPr>
        <sz val="10"/>
        <color rgb="FF000000"/>
        <rFont val="Arial"/>
        <family val="0"/>
        <charset val="1"/>
      </rPr>
      <t xml:space="preserve">AFFO </t>
    </r>
    <r>
      <rPr>
        <sz val="10"/>
        <color rgb="FF000000"/>
        <rFont val="WenQuanYi Zen Hei"/>
        <family val="2"/>
      </rPr>
      <t xml:space="preserve">為現金流基數；公用事業用 </t>
    </r>
    <r>
      <rPr>
        <sz val="10"/>
        <color rgb="FF000000"/>
        <rFont val="Arial"/>
        <family val="0"/>
        <charset val="1"/>
      </rPr>
      <t xml:space="preserve">DDM</t>
    </r>
    <r>
      <rPr>
        <sz val="10"/>
        <color rgb="FF000000"/>
        <rFont val="WenQuanYi Zen Hei"/>
        <family val="2"/>
      </rPr>
      <t xml:space="preserve">（股息為股東實得現金，重資本開支令 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為負）；銀行用可分配盈利（</t>
    </r>
    <r>
      <rPr>
        <sz val="10"/>
        <color rgb="FF000000"/>
        <rFont val="Arial"/>
        <family val="0"/>
        <charset val="1"/>
      </rPr>
      <t xml:space="preserve">=EPS×(1−g/ROE)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</si>
  <si>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WenQuanYi Zen Hei"/>
        <family val="2"/>
      </rPr>
      <t xml:space="preserve">• 所有 </t>
    </r>
    <r>
      <rPr>
        <sz val="10"/>
        <color rgb="FF000000"/>
        <rFont val="Arial"/>
        <family val="0"/>
        <charset val="1"/>
      </rPr>
      <t xml:space="preserve">g1/gT/</t>
    </r>
    <r>
      <rPr>
        <sz val="10"/>
        <color rgb="FF000000"/>
        <rFont val="WenQuanYi Zen Hei"/>
        <family val="2"/>
      </rPr>
      <t xml:space="preserve">轉換率</t>
    </r>
    <r>
      <rPr>
        <sz val="10"/>
        <color rgb="FF000000"/>
        <rFont val="Arial"/>
        <family val="0"/>
        <charset val="1"/>
      </rPr>
      <t xml:space="preserve">/Beta/</t>
    </r>
    <r>
      <rPr>
        <sz val="10"/>
        <color rgb="FF000000"/>
        <rFont val="WenQuanYi Zen Hei"/>
        <family val="2"/>
      </rPr>
      <t xml:space="preserve">目標倍數為分析師假設（藍字黃底），可直接修改測試敏感度。</t>
    </r>
    <r>
      <rPr>
        <sz val="10"/>
        <color rgb="FF000000"/>
        <rFont val="Arial"/>
        <family val="0"/>
        <charset val="1"/>
      </rPr>
      <t xml:space="preserve">Beta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Blume </t>
    </r>
    <r>
      <rPr>
        <sz val="10"/>
        <color rgb="FF000000"/>
        <rFont val="WenQuanYi Zen Hei"/>
        <family val="2"/>
      </rPr>
      <t xml:space="preserve">調整後估計值（</t>
    </r>
    <r>
      <rPr>
        <sz val="10"/>
        <color rgb="FF000000"/>
        <rFont val="Arial"/>
        <family val="0"/>
        <charset val="1"/>
      </rPr>
      <t xml:space="preserve">0.67×</t>
    </r>
    <r>
      <rPr>
        <sz val="10"/>
        <color rgb="FF000000"/>
        <rFont val="WenQuanYi Zen Hei"/>
        <family val="2"/>
      </rPr>
      <t xml:space="preserve">原始</t>
    </r>
    <r>
      <rPr>
        <sz val="10"/>
        <color rgb="FF000000"/>
        <rFont val="Arial"/>
        <family val="0"/>
        <charset val="1"/>
      </rPr>
      <t xml:space="preserve">+0.33</t>
    </r>
    <r>
      <rPr>
        <sz val="10"/>
        <color rgb="FF000000"/>
        <rFont val="WenQuanYi Zen Hei"/>
        <family val="2"/>
      </rPr>
      <t xml:space="preserve">）；公用事業原始 </t>
    </r>
    <r>
      <rPr>
        <sz val="10"/>
        <color rgb="FF000000"/>
        <rFont val="Arial"/>
        <family val="0"/>
        <charset val="1"/>
      </rPr>
      <t xml:space="preserve">Beta </t>
    </r>
    <r>
      <rPr>
        <sz val="10"/>
        <color rgb="FF000000"/>
        <rFont val="WenQuanYi Zen Hei"/>
        <family val="2"/>
      </rPr>
      <t xml:space="preserve">偏低會低估其利率風險。</t>
    </r>
  </si>
  <si>
    <r>
      <rPr>
        <b val="true"/>
        <sz val="11"/>
        <color rgb="FFFFFFFF"/>
        <rFont val="WenQuanYi Zen Hei"/>
        <family val="2"/>
      </rPr>
      <t xml:space="preserve">敏感度：</t>
    </r>
    <r>
      <rPr>
        <b val="true"/>
        <sz val="11"/>
        <color rgb="FFFFFFFF"/>
        <rFont val="Arial"/>
        <family val="0"/>
        <charset val="1"/>
      </rPr>
      <t xml:space="preserve">LIN </t>
    </r>
    <r>
      <rPr>
        <b val="true"/>
        <sz val="11"/>
        <color rgb="FFFFFFFF"/>
        <rFont val="WenQuanYi Zen Hei"/>
        <family val="2"/>
      </rPr>
      <t xml:space="preserve">內在價值（</t>
    </r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）對 折現率 </t>
    </r>
    <r>
      <rPr>
        <b val="true"/>
        <sz val="11"/>
        <color rgb="FFFFFFFF"/>
        <rFont val="Arial"/>
        <family val="0"/>
        <charset val="1"/>
      </rPr>
      <t xml:space="preserve">r × </t>
    </r>
    <r>
      <rPr>
        <b val="true"/>
        <sz val="11"/>
        <color rgb="FFFFFFFF"/>
        <rFont val="WenQuanYi Zen Hei"/>
        <family val="2"/>
      </rPr>
      <t xml:space="preserve">第一階段增長 </t>
    </r>
    <r>
      <rPr>
        <b val="true"/>
        <sz val="11"/>
        <color rgb="FFFFFFFF"/>
        <rFont val="Arial"/>
        <family val="0"/>
        <charset val="1"/>
      </rPr>
      <t xml:space="preserve">g1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gT </t>
    </r>
    <r>
      <rPr>
        <b val="true"/>
        <sz val="11"/>
        <color rgb="FFFFFFFF"/>
        <rFont val="WenQuanYi Zen Hei"/>
        <family val="2"/>
      </rPr>
      <t xml:space="preserve">取表內值）</t>
    </r>
  </si>
  <si>
    <t xml:space="preserve">r ↓ / g1 →</t>
  </si>
  <si>
    <t xml:space="preserve">現價</t>
  </si>
  <si>
    <r>
      <rPr>
        <b val="true"/>
        <sz val="16"/>
        <color rgb="FF1F3864"/>
        <rFont val="WenQuanYi Zen Hei"/>
        <family val="2"/>
      </rPr>
      <t xml:space="preserve">巴菲特準則評分卡（質量）</t>
    </r>
    <r>
      <rPr>
        <b val="true"/>
        <sz val="16"/>
        <color rgb="FF1F3864"/>
        <rFont val="Arial"/>
        <family val="0"/>
        <charset val="1"/>
      </rPr>
      <t xml:space="preserve">+ </t>
    </r>
    <r>
      <rPr>
        <b val="true"/>
        <sz val="16"/>
        <color rgb="FF1F3864"/>
        <rFont val="WenQuanYi Zen Hei"/>
        <family val="2"/>
      </rPr>
      <t xml:space="preserve">估值分</t>
    </r>
  </si>
  <si>
    <r>
      <rPr>
        <i val="true"/>
        <sz val="8"/>
        <color rgb="FF595959"/>
        <rFont val="Arial"/>
        <family val="0"/>
        <charset val="1"/>
      </rPr>
      <t xml:space="preserve">0–5 </t>
    </r>
    <r>
      <rPr>
        <i val="true"/>
        <sz val="8"/>
        <color rgb="FF595959"/>
        <rFont val="WenQuanYi Zen Hei"/>
        <family val="2"/>
      </rPr>
      <t xml:space="preserve">分；藍字</t>
    </r>
    <r>
      <rPr>
        <i val="true"/>
        <sz val="8"/>
        <color rgb="FF595959"/>
        <rFont val="Arial"/>
        <family val="0"/>
        <charset val="1"/>
      </rPr>
      <t xml:space="preserve">=</t>
    </r>
    <r>
      <rPr>
        <i val="true"/>
        <sz val="8"/>
        <color rgb="FF595959"/>
        <rFont val="WenQuanYi Zen Hei"/>
        <family val="2"/>
      </rPr>
      <t xml:space="preserve">分析師判斷（理由見右欄），黑字</t>
    </r>
    <r>
      <rPr>
        <i val="true"/>
        <sz val="8"/>
        <color rgb="FF595959"/>
        <rFont val="Arial"/>
        <family val="0"/>
        <charset val="1"/>
      </rPr>
      <t xml:space="preserve">=</t>
    </r>
    <r>
      <rPr>
        <i val="true"/>
        <sz val="8"/>
        <color rgb="FF595959"/>
        <rFont val="WenQuanYi Zen Hei"/>
        <family val="2"/>
      </rPr>
      <t xml:space="preserve">公式（宏觀韌性連結 </t>
    </r>
    <r>
      <rPr>
        <i val="true"/>
        <sz val="8"/>
        <color rgb="FF595959"/>
        <rFont val="Arial"/>
        <family val="0"/>
        <charset val="1"/>
      </rPr>
      <t xml:space="preserve">Macro</t>
    </r>
    <r>
      <rPr>
        <i val="true"/>
        <sz val="8"/>
        <color rgb="FF595959"/>
        <rFont val="WenQuanYi Zen Hei"/>
        <family val="2"/>
      </rPr>
      <t xml:space="preserve">，估值分由安全邊際與 </t>
    </r>
    <r>
      <rPr>
        <i val="true"/>
        <sz val="8"/>
        <color rgb="FF595959"/>
        <rFont val="Arial"/>
        <family val="0"/>
        <charset val="1"/>
      </rPr>
      <t xml:space="preserve">5 </t>
    </r>
    <r>
      <rPr>
        <i val="true"/>
        <sz val="8"/>
        <color rgb="FF595959"/>
        <rFont val="WenQuanYi Zen Hei"/>
        <family val="2"/>
      </rPr>
      <t xml:space="preserve">年預期回報計算）。</t>
    </r>
  </si>
  <si>
    <t xml:space="preserve">權重（質量分內部，可調）</t>
  </si>
  <si>
    <r>
      <rPr>
        <b val="true"/>
        <sz val="10"/>
        <color rgb="FF000000"/>
        <rFont val="WenQuanYi Zen Hei"/>
        <family val="2"/>
      </rPr>
      <t xml:space="preserve">業務易懂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能力圈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</si>
  <si>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護城河寬度</t>
  </si>
  <si>
    <r>
      <rPr>
        <b val="true"/>
        <sz val="10"/>
        <color rgb="FF000000"/>
        <rFont val="WenQuanYi Zen Hei"/>
        <family val="2"/>
      </rPr>
      <t xml:space="preserve">長期 </t>
    </r>
    <r>
      <rPr>
        <b val="true"/>
        <sz val="10"/>
        <color rgb="FF000000"/>
        <rFont val="Arial"/>
        <family val="0"/>
        <charset val="1"/>
      </rPr>
      <t xml:space="preserve">ROE/ROIC </t>
    </r>
    <r>
      <rPr>
        <b val="true"/>
        <sz val="10"/>
        <color rgb="FF000000"/>
        <rFont val="WenQuanYi Zen Hei"/>
        <family val="2"/>
      </rPr>
      <t xml:space="preserve">質量</t>
    </r>
  </si>
  <si>
    <t xml:space="preserve">資產負債表穩健</t>
  </si>
  <si>
    <r>
      <rPr>
        <b val="true"/>
        <sz val="10"/>
        <color rgb="FF000000"/>
        <rFont val="WenQuanYi Zen Hei"/>
        <family val="2"/>
      </rPr>
      <t xml:space="preserve">管理層（誠信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WenQuanYi Zen Hei"/>
        <family val="2"/>
      </rPr>
      <t xml:space="preserve">資本配置）</t>
    </r>
  </si>
  <si>
    <t xml:space="preserve">宏觀韌性</t>
  </si>
  <si>
    <t xml:space="preserve">權重</t>
  </si>
  <si>
    <r>
      <rPr>
        <i val="true"/>
        <sz val="8"/>
        <color rgb="FF595959"/>
        <rFont val="WenQuanYi Zen Hei"/>
        <family val="2"/>
      </rPr>
      <t xml:space="preserve">綜合分 </t>
    </r>
    <r>
      <rPr>
        <i val="true"/>
        <sz val="8"/>
        <color rgb="FF595959"/>
        <rFont val="Arial"/>
        <family val="0"/>
        <charset val="1"/>
      </rPr>
      <t xml:space="preserve">= </t>
    </r>
    <r>
      <rPr>
        <i val="true"/>
        <sz val="8"/>
        <color rgb="FF595959"/>
        <rFont val="WenQuanYi Zen Hei"/>
        <family val="2"/>
      </rPr>
      <t xml:space="preserve">質量分 </t>
    </r>
    <r>
      <rPr>
        <i val="true"/>
        <sz val="8"/>
        <color rgb="FF595959"/>
        <rFont val="Arial"/>
        <family val="0"/>
        <charset val="1"/>
      </rPr>
      <t xml:space="preserve">× </t>
    </r>
    <r>
      <rPr>
        <i val="true"/>
        <sz val="8"/>
        <color rgb="FF595959"/>
        <rFont val="WenQuanYi Zen Hei"/>
        <family val="2"/>
      </rPr>
      <t xml:space="preserve">質量權重 </t>
    </r>
    <r>
      <rPr>
        <i val="true"/>
        <sz val="8"/>
        <color rgb="FF595959"/>
        <rFont val="Arial"/>
        <family val="0"/>
        <charset val="1"/>
      </rPr>
      <t xml:space="preserve">+ </t>
    </r>
    <r>
      <rPr>
        <i val="true"/>
        <sz val="8"/>
        <color rgb="FF595959"/>
        <rFont val="WenQuanYi Zen Hei"/>
        <family val="2"/>
      </rPr>
      <t xml:space="preserve">估值分 </t>
    </r>
    <r>
      <rPr>
        <i val="true"/>
        <sz val="8"/>
        <color rgb="FF595959"/>
        <rFont val="Arial"/>
        <family val="0"/>
        <charset val="1"/>
      </rPr>
      <t xml:space="preserve">× (1−</t>
    </r>
    <r>
      <rPr>
        <i val="true"/>
        <sz val="8"/>
        <color rgb="FF595959"/>
        <rFont val="WenQuanYi Zen Hei"/>
        <family val="2"/>
      </rPr>
      <t xml:space="preserve">質量權重</t>
    </r>
    <r>
      <rPr>
        <i val="true"/>
        <sz val="8"/>
        <color rgb="FF595959"/>
        <rFont val="Arial"/>
        <family val="0"/>
        <charset val="1"/>
      </rPr>
      <t xml:space="preserve">)</t>
    </r>
    <r>
      <rPr>
        <i val="true"/>
        <sz val="8"/>
        <color rgb="FF595959"/>
        <rFont val="WenQuanYi Zen Hei"/>
        <family val="2"/>
      </rPr>
      <t xml:space="preserve">；質量權重：</t>
    </r>
  </si>
  <si>
    <r>
      <rPr>
        <b val="true"/>
        <sz val="10"/>
        <color rgb="FFFFFFFF"/>
        <rFont val="WenQuanYi Zen Hei"/>
        <family val="2"/>
      </rPr>
      <t xml:space="preserve">業務易懂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能力圈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</si>
  <si>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長期 </t>
    </r>
    <r>
      <rPr>
        <b val="true"/>
        <sz val="10"/>
        <color rgb="FFFFFFFF"/>
        <rFont val="Arial"/>
        <family val="0"/>
        <charset val="1"/>
      </rPr>
      <t xml:space="preserve">ROE/ROIC </t>
    </r>
    <r>
      <rPr>
        <b val="true"/>
        <sz val="10"/>
        <color rgb="FFFFFFFF"/>
        <rFont val="WenQuanYi Zen Hei"/>
        <family val="2"/>
      </rPr>
      <t xml:space="preserve">質量</t>
    </r>
  </si>
  <si>
    <r>
      <rPr>
        <b val="true"/>
        <sz val="10"/>
        <color rgb="FFFFFFFF"/>
        <rFont val="WenQuanYi Zen Hei"/>
        <family val="2"/>
      </rPr>
      <t xml:space="preserve">管理層（誠信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資本配置）</t>
    </r>
  </si>
  <si>
    <r>
      <rPr>
        <b val="true"/>
        <sz val="10"/>
        <color rgb="FFFFFFFF"/>
        <rFont val="WenQuanYi Zen Hei"/>
        <family val="2"/>
      </rPr>
      <t xml:space="preserve">質量分 </t>
    </r>
    <r>
      <rPr>
        <b val="true"/>
        <sz val="10"/>
        <color rgb="FFFFFFFF"/>
        <rFont val="Arial"/>
        <family val="0"/>
        <charset val="1"/>
      </rPr>
      <t xml:space="preserve">(0–100)</t>
    </r>
  </si>
  <si>
    <r>
      <rPr>
        <b val="true"/>
        <sz val="10"/>
        <color rgb="FFFFFFFF"/>
        <rFont val="WenQuanYi Zen Hei"/>
        <family val="2"/>
      </rPr>
      <t xml:space="preserve">估值分 </t>
    </r>
    <r>
      <rPr>
        <b val="true"/>
        <sz val="10"/>
        <color rgb="FFFFFFFF"/>
        <rFont val="Arial"/>
        <family val="0"/>
        <charset val="1"/>
      </rPr>
      <t xml:space="preserve">(0–100)</t>
    </r>
  </si>
  <si>
    <t xml:space="preserve">綜合分</t>
  </si>
  <si>
    <r>
      <rPr>
        <b val="true"/>
        <sz val="10"/>
        <color rgb="FFFFFFFF"/>
        <rFont val="WenQuanYi Zen Hei"/>
        <family val="2"/>
      </rPr>
      <t xml:space="preserve">護城河類型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寬度</t>
    </r>
  </si>
  <si>
    <t xml:space="preserve">管理層評估</t>
  </si>
  <si>
    <t xml:space="preserve">巴菲特視角</t>
  </si>
  <si>
    <t xml:space="preserve">寬：低成本浮存金、永久資本、分散化現金流、「首選買家」聲譽</t>
  </si>
  <si>
    <r>
      <rPr>
        <sz val="10"/>
        <color rgb="FF000000"/>
        <rFont val="Arial"/>
        <family val="0"/>
        <charset val="1"/>
      </rPr>
      <t xml:space="preserve">Greg Abel 2026/1 </t>
    </r>
    <r>
      <rPr>
        <sz val="10"/>
        <color rgb="FF000000"/>
        <rFont val="WenQuanYi Zen Hei"/>
        <family val="2"/>
      </rPr>
      <t xml:space="preserve">接任 </t>
    </r>
    <r>
      <rPr>
        <sz val="10"/>
        <color rgb="FF000000"/>
        <rFont val="Arial"/>
        <family val="0"/>
        <charset val="1"/>
      </rPr>
      <t xml:space="preserve">CEO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營運盈利 </t>
    </r>
    <r>
      <rPr>
        <sz val="10"/>
        <color rgb="FF000000"/>
        <rFont val="Arial"/>
        <family val="0"/>
        <charset val="1"/>
      </rPr>
      <t xml:space="preserve">+16%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$129.8 </t>
    </r>
    <r>
      <rPr>
        <sz val="10"/>
        <color rgb="FF000000"/>
        <rFont val="WenQuanYi Zen Hei"/>
        <family val="2"/>
      </rPr>
      <t xml:space="preserve">億；回購重啟（</t>
    </r>
    <r>
      <rPr>
        <sz val="10"/>
        <color rgb="FF000000"/>
        <rFont val="Arial"/>
        <family val="0"/>
        <charset val="1"/>
      </rPr>
      <t xml:space="preserve">Q2 $45 </t>
    </r>
    <r>
      <rPr>
        <sz val="10"/>
        <color rgb="FF000000"/>
        <rFont val="WenQuanYi Zen Hei"/>
        <family val="2"/>
      </rPr>
      <t xml:space="preserve">億，判斷內在價值高於市價）；</t>
    </r>
    <r>
      <rPr>
        <sz val="10"/>
        <color rgb="FF000000"/>
        <rFont val="Arial"/>
        <family val="0"/>
        <charset val="1"/>
      </rPr>
      <t xml:space="preserve">$100 </t>
    </r>
    <r>
      <rPr>
        <sz val="10"/>
        <color rgb="FF000000"/>
        <rFont val="WenQuanYi Zen Hei"/>
        <family val="2"/>
      </rPr>
      <t xml:space="preserve">億投資 </t>
    </r>
    <r>
      <rPr>
        <sz val="10"/>
        <color rgb="FF000000"/>
        <rFont val="Arial"/>
        <family val="0"/>
        <charset val="1"/>
      </rPr>
      <t xml:space="preserve">Alphabet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$68 </t>
    </r>
    <r>
      <rPr>
        <sz val="10"/>
        <color rgb="FF000000"/>
        <rFont val="WenQuanYi Zen Hei"/>
        <family val="2"/>
      </rPr>
      <t xml:space="preserve">億收購 </t>
    </r>
    <r>
      <rPr>
        <sz val="10"/>
        <color rgb="FF000000"/>
        <rFont val="Arial"/>
        <family val="0"/>
        <charset val="1"/>
      </rPr>
      <t xml:space="preserve">Taylor Morrison</t>
    </r>
    <r>
      <rPr>
        <sz val="10"/>
        <color rgb="FF000000"/>
        <rFont val="WenQuanYi Zen Hei"/>
        <family val="2"/>
      </rPr>
      <t xml:space="preserve">。後巴菲特時代資本配置能力待驗證</t>
    </r>
  </si>
  <si>
    <r>
      <rPr>
        <sz val="10"/>
        <color rgb="FF000000"/>
        <rFont val="WenQuanYi Zen Hei"/>
        <family val="2"/>
      </rPr>
      <t xml:space="preserve">巴菲特親手打造；</t>
    </r>
    <r>
      <rPr>
        <sz val="10"/>
        <color rgb="FF000000"/>
        <rFont val="Arial"/>
        <family val="0"/>
        <charset val="1"/>
      </rPr>
      <t xml:space="preserve">P/B 1.49 </t>
    </r>
    <r>
      <rPr>
        <sz val="10"/>
        <color rgb="FF000000"/>
        <rFont val="WenQuanYi Zen Hei"/>
        <family val="2"/>
      </rPr>
      <t xml:space="preserve">接近其歷史回購區間；</t>
    </r>
    <r>
      <rPr>
        <sz val="10"/>
        <color rgb="FF000000"/>
        <rFont val="Arial"/>
        <family val="0"/>
        <charset val="1"/>
      </rPr>
      <t xml:space="preserve">$3,655 </t>
    </r>
    <r>
      <rPr>
        <sz val="10"/>
        <color rgb="FF000000"/>
        <rFont val="WenQuanYi Zen Hei"/>
        <family val="2"/>
      </rPr>
      <t xml:space="preserve">億現金在加息期是期權，不是負擔</t>
    </r>
  </si>
  <si>
    <t xml:space="preserve">寬：規模、低成本存款、全業務線、科技投入</t>
  </si>
  <si>
    <r>
      <rPr>
        <sz val="10"/>
        <color rgb="FF000000"/>
        <rFont val="Arial"/>
        <family val="0"/>
        <charset val="1"/>
      </rPr>
      <t xml:space="preserve">Jamie Dimon 2005 </t>
    </r>
    <r>
      <rPr>
        <sz val="10"/>
        <color rgb="FF000000"/>
        <rFont val="WenQuanYi Zen Hei"/>
        <family val="2"/>
      </rPr>
      <t xml:space="preserve">年起任 </t>
    </r>
    <r>
      <rPr>
        <sz val="10"/>
        <color rgb="FF000000"/>
        <rFont val="Arial"/>
        <family val="0"/>
        <charset val="1"/>
      </rPr>
      <t xml:space="preserve">CEO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ROE 16–18%</t>
    </r>
    <r>
      <rPr>
        <sz val="10"/>
        <color rgb="FF000000"/>
        <rFont val="WenQuanYi Zen Hei"/>
        <family val="2"/>
      </rPr>
      <t xml:space="preserve">、堡壘式資產負債表；</t>
    </r>
    <r>
      <rPr>
        <sz val="10"/>
        <color rgb="FF000000"/>
        <rFont val="Arial"/>
        <family val="0"/>
        <charset val="1"/>
      </rPr>
      <t xml:space="preserve">2026 NII </t>
    </r>
    <r>
      <rPr>
        <sz val="10"/>
        <color rgb="FF000000"/>
        <rFont val="WenQuanYi Zen Hei"/>
        <family val="2"/>
      </rPr>
      <t xml:space="preserve">指引上調至 </t>
    </r>
    <r>
      <rPr>
        <sz val="10"/>
        <color rgb="FF000000"/>
        <rFont val="Arial"/>
        <family val="0"/>
        <charset val="1"/>
      </rPr>
      <t xml:space="preserve">~$1,055 </t>
    </r>
    <r>
      <rPr>
        <sz val="10"/>
        <color rgb="FF000000"/>
        <rFont val="WenQuanYi Zen Hei"/>
        <family val="2"/>
      </rPr>
      <t xml:space="preserve">億；接班「數年內」、兩位聯席總裁</t>
    </r>
  </si>
  <si>
    <r>
      <rPr>
        <sz val="10"/>
        <color rgb="FF000000"/>
        <rFont val="WenQuanYi Zen Hei"/>
        <family val="2"/>
      </rPr>
      <t xml:space="preserve">巴菲特曾稱 </t>
    </r>
    <r>
      <rPr>
        <sz val="10"/>
        <color rgb="FF000000"/>
        <rFont val="Arial"/>
        <family val="0"/>
        <charset val="1"/>
      </rPr>
      <t xml:space="preserve">Dimon </t>
    </r>
    <r>
      <rPr>
        <sz val="10"/>
        <color rgb="FF000000"/>
        <rFont val="WenQuanYi Zen Hei"/>
        <family val="2"/>
      </rPr>
      <t xml:space="preserve">為最佳銀行家；但 </t>
    </r>
    <r>
      <rPr>
        <sz val="10"/>
        <color rgb="FF000000"/>
        <rFont val="Arial"/>
        <family val="0"/>
        <charset val="1"/>
      </rPr>
      <t xml:space="preserve">P/B 2.5x </t>
    </r>
    <r>
      <rPr>
        <sz val="10"/>
        <color rgb="FF000000"/>
        <rFont val="WenQuanYi Zen Hei"/>
        <family val="2"/>
      </rPr>
      <t xml:space="preserve">高於行業 </t>
    </r>
    <r>
      <rPr>
        <sz val="10"/>
        <color rgb="FF000000"/>
        <rFont val="Arial"/>
        <family val="0"/>
        <charset val="1"/>
      </rPr>
      <t xml:space="preserve">1.57x</t>
    </r>
    <r>
      <rPr>
        <sz val="10"/>
        <color rgb="FF000000"/>
        <rFont val="WenQuanYi Zen Hei"/>
        <family val="2"/>
      </rPr>
      <t xml:space="preserve">，價格已反映質量</t>
    </r>
  </si>
  <si>
    <r>
      <rPr>
        <sz val="10"/>
        <color rgb="FF000000"/>
        <rFont val="WenQuanYi Zen Hei"/>
        <family val="2"/>
      </rPr>
      <t xml:space="preserve">極寬：雙邊網絡效應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雙寡頭；毛利 </t>
    </r>
    <r>
      <rPr>
        <sz val="10"/>
        <color rgb="FF000000"/>
        <rFont val="Arial"/>
        <family val="0"/>
        <charset val="1"/>
      </rPr>
      <t xml:space="preserve">97.8%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ROE 53%</t>
    </r>
  </si>
  <si>
    <r>
      <rPr>
        <sz val="10"/>
        <color rgb="FF000000"/>
        <rFont val="Arial"/>
        <family val="0"/>
        <charset val="1"/>
      </rPr>
      <t xml:space="preserve">Ryan McInerney 2023 </t>
    </r>
    <r>
      <rPr>
        <sz val="10"/>
        <color rgb="FF000000"/>
        <rFont val="WenQuanYi Zen Hei"/>
        <family val="2"/>
      </rPr>
      <t xml:space="preserve">年起；每季回饋股東 </t>
    </r>
    <r>
      <rPr>
        <sz val="10"/>
        <color rgb="FF000000"/>
        <rFont val="Arial"/>
        <family val="0"/>
        <charset val="1"/>
      </rPr>
      <t xml:space="preserve">~$61 </t>
    </r>
    <r>
      <rPr>
        <sz val="10"/>
        <color rgb="FF000000"/>
        <rFont val="WenQuanYi Zen Hei"/>
        <family val="2"/>
      </rPr>
      <t xml:space="preserve">億（回購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股息）；需處理 </t>
    </r>
    <r>
      <rPr>
        <sz val="10"/>
        <color rgb="FF000000"/>
        <rFont val="Arial"/>
        <family val="0"/>
        <charset val="1"/>
      </rPr>
      <t xml:space="preserve">CCCA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DOJ </t>
    </r>
    <r>
      <rPr>
        <sz val="10"/>
        <color rgb="FF000000"/>
        <rFont val="WenQuanYi Zen Hei"/>
        <family val="2"/>
      </rPr>
      <t xml:space="preserve">反壟斷、交換費訴訟（每季撥備 </t>
    </r>
    <r>
      <rPr>
        <sz val="10"/>
        <color rgb="FF000000"/>
        <rFont val="Arial"/>
        <family val="0"/>
        <charset val="1"/>
      </rPr>
      <t xml:space="preserve">$6–10 </t>
    </r>
    <r>
      <rPr>
        <sz val="10"/>
        <color rgb="FF000000"/>
        <rFont val="WenQuanYi Zen Hei"/>
        <family val="2"/>
      </rPr>
      <t xml:space="preserve">億）</t>
    </r>
  </si>
  <si>
    <r>
      <rPr>
        <sz val="10"/>
        <color rgb="FF000000"/>
        <rFont val="WenQuanYi Zen Hei"/>
        <family val="2"/>
      </rPr>
      <t xml:space="preserve">巴菲特持有 </t>
    </r>
    <r>
      <rPr>
        <sz val="10"/>
        <color rgb="FF000000"/>
        <rFont val="Arial"/>
        <family val="0"/>
        <charset val="1"/>
      </rPr>
      <t xml:space="preserve">V/MA</t>
    </r>
    <r>
      <rPr>
        <sz val="10"/>
        <color rgb="FF000000"/>
        <rFont val="WenQuanYi Zen Hei"/>
        <family val="2"/>
      </rPr>
      <t xml:space="preserve">；典型「以合理價格買入卓越公司」，但 </t>
    </r>
    <r>
      <rPr>
        <sz val="10"/>
        <color rgb="FF000000"/>
        <rFont val="Arial"/>
        <family val="0"/>
        <charset val="1"/>
      </rPr>
      <t xml:space="preserve">33x TTM </t>
    </r>
    <r>
      <rPr>
        <sz val="10"/>
        <color rgb="FF000000"/>
        <rFont val="WenQuanYi Zen Hei"/>
        <family val="2"/>
      </rPr>
      <t xml:space="preserve">不便宜</t>
    </r>
  </si>
  <si>
    <r>
      <rPr>
        <sz val="10"/>
        <color rgb="FF000000"/>
        <rFont val="WenQuanYi Zen Hei"/>
        <family val="2"/>
      </rPr>
      <t xml:space="preserve">窄：</t>
    </r>
    <r>
      <rPr>
        <sz val="10"/>
        <color rgb="FF000000"/>
        <rFont val="Arial"/>
        <family val="0"/>
        <charset val="1"/>
      </rPr>
      <t xml:space="preserve">FPL </t>
    </r>
    <r>
      <rPr>
        <sz val="10"/>
        <color rgb="FF000000"/>
        <rFont val="WenQuanYi Zen Hei"/>
        <family val="2"/>
      </rPr>
      <t xml:space="preserve">受監管壟斷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再生能源開發規模</t>
    </r>
  </si>
  <si>
    <r>
      <rPr>
        <sz val="10"/>
        <color rgb="FF000000"/>
        <rFont val="Arial"/>
        <family val="0"/>
        <charset val="1"/>
      </rPr>
      <t xml:space="preserve">John Ketchum 2022 </t>
    </r>
    <r>
      <rPr>
        <sz val="10"/>
        <color rgb="FF000000"/>
        <rFont val="WenQuanYi Zen Hei"/>
        <family val="2"/>
      </rPr>
      <t xml:space="preserve">年起；</t>
    </r>
    <r>
      <rPr>
        <sz val="10"/>
        <color rgb="FF000000"/>
        <rFont val="Arial"/>
        <family val="0"/>
        <charset val="1"/>
      </rPr>
      <t xml:space="preserve">2026/5 </t>
    </r>
    <r>
      <rPr>
        <sz val="10"/>
        <color rgb="FF000000"/>
        <rFont val="WenQuanYi Zen Hei"/>
        <family val="2"/>
      </rPr>
      <t xml:space="preserve">宣布 </t>
    </r>
    <r>
      <rPr>
        <sz val="10"/>
        <color rgb="FF000000"/>
        <rFont val="Arial"/>
        <family val="0"/>
        <charset val="1"/>
      </rPr>
      <t xml:space="preserve">$668 </t>
    </r>
    <r>
      <rPr>
        <sz val="10"/>
        <color rgb="FF000000"/>
        <rFont val="WenQuanYi Zen Hei"/>
        <family val="2"/>
      </rPr>
      <t xml:space="preserve">億收購 </t>
    </r>
    <r>
      <rPr>
        <sz val="10"/>
        <color rgb="FF000000"/>
        <rFont val="Arial"/>
        <family val="0"/>
        <charset val="1"/>
      </rPr>
      <t xml:space="preserve">Dominion</t>
    </r>
    <r>
      <rPr>
        <sz val="10"/>
        <color rgb="FF000000"/>
        <rFont val="WenQuanYi Zen Hei"/>
        <family val="2"/>
      </rPr>
      <t xml:space="preserve">，溢價受質疑、股價半年 −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FCF </t>
    </r>
    <r>
      <rPr>
        <sz val="10"/>
        <color rgb="FF000000"/>
        <rFont val="WenQuanYi Zen Hei"/>
        <family val="2"/>
      </rPr>
      <t xml:space="preserve">長期為負依賴融資</t>
    </r>
  </si>
  <si>
    <r>
      <rPr>
        <sz val="10"/>
        <color rgb="FF000000"/>
        <rFont val="WenQuanYi Zen Hei"/>
        <family val="2"/>
      </rPr>
      <t xml:space="preserve">巴菲特經 </t>
    </r>
    <r>
      <rPr>
        <sz val="10"/>
        <color rgb="FF000000"/>
        <rFont val="Arial"/>
        <family val="0"/>
        <charset val="1"/>
      </rPr>
      <t xml:space="preserve">BHE </t>
    </r>
    <r>
      <rPr>
        <sz val="10"/>
        <color rgb="FF000000"/>
        <rFont val="WenQuanYi Zen Hei"/>
        <family val="2"/>
      </rPr>
      <t xml:space="preserve">持有公用事業，但偏好低槓桿；</t>
    </r>
    <r>
      <rPr>
        <sz val="10"/>
        <color rgb="FF000000"/>
        <rFont val="Arial"/>
        <family val="0"/>
        <charset val="1"/>
      </rPr>
      <t xml:space="preserve">NEE </t>
    </r>
    <r>
      <rPr>
        <sz val="10"/>
        <color rgb="FF000000"/>
        <rFont val="WenQuanYi Zen Hei"/>
        <family val="2"/>
      </rPr>
      <t xml:space="preserve">估值處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年低位（比 </t>
    </r>
    <r>
      <rPr>
        <sz val="10"/>
        <color rgb="FF000000"/>
        <rFont val="Arial"/>
        <family val="0"/>
        <charset val="1"/>
      </rPr>
      <t xml:space="preserve">87% </t>
    </r>
    <r>
      <rPr>
        <sz val="10"/>
        <color rgb="FF000000"/>
        <rFont val="WenQuanYi Zen Hei"/>
        <family val="2"/>
      </rPr>
      <t xml:space="preserve">時間便宜）是逆向機會而非質量標的</t>
    </r>
  </si>
  <si>
    <t xml:space="preserve">窄–寬：核電機組不可複製</t>
  </si>
  <si>
    <r>
      <rPr>
        <sz val="10"/>
        <color rgb="FF000000"/>
        <rFont val="Arial"/>
        <family val="0"/>
        <charset val="1"/>
      </rPr>
      <t xml:space="preserve">Joe Dominguez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Calpine </t>
    </r>
    <r>
      <rPr>
        <sz val="10"/>
        <color rgb="FF000000"/>
        <rFont val="WenQuanYi Zen Hei"/>
        <family val="2"/>
      </rPr>
      <t xml:space="preserve">併購整合中；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$11–12 </t>
    </r>
    <r>
      <rPr>
        <sz val="10"/>
        <color rgb="FF000000"/>
        <rFont val="WenQuanYi Zen Hei"/>
        <family val="2"/>
      </rPr>
      <t xml:space="preserve">低於預期、缺新超大規模 </t>
    </r>
    <r>
      <rPr>
        <sz val="10"/>
        <color rgb="FF000000"/>
        <rFont val="Arial"/>
        <family val="0"/>
        <charset val="1"/>
      </rPr>
      <t xml:space="preserve">PPA</t>
    </r>
  </si>
  <si>
    <t xml:space="preserve">盈利受電價與合約時點驅動，可預測性不足</t>
  </si>
  <si>
    <t xml:space="preserve">窄：東南部受監管壟斷</t>
  </si>
  <si>
    <r>
      <rPr>
        <sz val="10"/>
        <color rgb="FF000000"/>
        <rFont val="Arial"/>
        <family val="0"/>
        <charset val="1"/>
      </rPr>
      <t xml:space="preserve">Chris Womack 2023 </t>
    </r>
    <r>
      <rPr>
        <sz val="10"/>
        <color rgb="FF000000"/>
        <rFont val="WenQuanYi Zen Hei"/>
        <family val="2"/>
      </rPr>
      <t xml:space="preserve">年起；</t>
    </r>
    <r>
      <rPr>
        <sz val="10"/>
        <color rgb="FF000000"/>
        <rFont val="Arial"/>
        <family val="0"/>
        <charset val="1"/>
      </rPr>
      <t xml:space="preserve">Vogtle 3/4 </t>
    </r>
    <r>
      <rPr>
        <sz val="10"/>
        <color rgb="FF000000"/>
        <rFont val="WenQuanYi Zen Hei"/>
        <family val="2"/>
      </rPr>
      <t xml:space="preserve">超支延誤為歷史污點；</t>
    </r>
    <r>
      <rPr>
        <sz val="10"/>
        <color rgb="FF000000"/>
        <rFont val="Arial"/>
        <family val="0"/>
        <charset val="1"/>
      </rPr>
      <t xml:space="preserve">$810 </t>
    </r>
    <r>
      <rPr>
        <sz val="10"/>
        <color rgb="FF000000"/>
        <rFont val="WenQuanYi Zen Hei"/>
        <family val="2"/>
      </rPr>
      <t xml:space="preserve">億資本計劃、</t>
    </r>
    <r>
      <rPr>
        <sz val="10"/>
        <color rgb="FF000000"/>
        <rFont val="Arial"/>
        <family val="0"/>
        <charset val="1"/>
      </rPr>
      <t xml:space="preserve">17GW </t>
    </r>
    <r>
      <rPr>
        <sz val="10"/>
        <color rgb="FF000000"/>
        <rFont val="WenQuanYi Zen Hei"/>
        <family val="2"/>
      </rPr>
      <t xml:space="preserve">大負荷合約</t>
    </r>
  </si>
  <si>
    <r>
      <rPr>
        <sz val="10"/>
        <color rgb="FF000000"/>
        <rFont val="WenQuanYi Zen Hei"/>
        <family val="2"/>
      </rPr>
      <t xml:space="preserve">業務易懂、股息穩，但高負債（負債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資產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WenQuanYi Zen Hei"/>
        <family val="2"/>
      </rPr>
      <t xml:space="preserve">）與監管風險</t>
    </r>
  </si>
  <si>
    <r>
      <rPr>
        <sz val="10"/>
        <color rgb="FF000000"/>
        <rFont val="WenQuanYi Zen Hei"/>
        <family val="2"/>
      </rPr>
      <t xml:space="preserve">窄：長者住宅營運平台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數據化管理</t>
    </r>
  </si>
  <si>
    <r>
      <rPr>
        <sz val="10"/>
        <color rgb="FF000000"/>
        <rFont val="Arial"/>
        <family val="0"/>
        <charset val="1"/>
      </rPr>
      <t xml:space="preserve">Shankh Mitra 2020 </t>
    </r>
    <r>
      <rPr>
        <sz val="10"/>
        <color rgb="FF000000"/>
        <rFont val="WenQuanYi Zen Hei"/>
        <family val="2"/>
      </rPr>
      <t xml:space="preserve">年起；</t>
    </r>
    <r>
      <rPr>
        <sz val="10"/>
        <color rgb="FF000000"/>
        <rFont val="Arial"/>
        <family val="0"/>
        <charset val="1"/>
      </rPr>
      <t xml:space="preserve">FFO </t>
    </r>
    <r>
      <rPr>
        <sz val="10"/>
        <color rgb="FF000000"/>
        <rFont val="WenQuanYi Zen Hei"/>
        <family val="2"/>
      </rPr>
      <t xml:space="preserve">指引上調至 </t>
    </r>
    <r>
      <rPr>
        <sz val="10"/>
        <color rgb="FF000000"/>
        <rFont val="Arial"/>
        <family val="0"/>
        <charset val="1"/>
      </rPr>
      <t xml:space="preserve">$6.36–6.44</t>
    </r>
    <r>
      <rPr>
        <sz val="10"/>
        <color rgb="FF000000"/>
        <rFont val="WenQuanYi Zen Hei"/>
        <family val="2"/>
      </rPr>
      <t xml:space="preserve">、股息 </t>
    </r>
    <r>
      <rPr>
        <sz val="10"/>
        <color rgb="FF000000"/>
        <rFont val="Arial"/>
        <family val="0"/>
        <charset val="1"/>
      </rPr>
      <t xml:space="preserve">+15%</t>
    </r>
    <r>
      <rPr>
        <sz val="10"/>
        <color rgb="FF000000"/>
        <rFont val="WenQuanYi Zen Hei"/>
        <family val="2"/>
      </rPr>
      <t xml:space="preserve">；資本配置出色</t>
    </r>
  </si>
  <si>
    <r>
      <rPr>
        <sz val="10"/>
        <color rgb="FF000000"/>
        <rFont val="WenQuanYi Zen Hei"/>
        <family val="2"/>
      </rPr>
      <t xml:space="preserve">好公司但 </t>
    </r>
    <r>
      <rPr>
        <sz val="10"/>
        <color rgb="FF000000"/>
        <rFont val="Arial"/>
        <family val="0"/>
        <charset val="1"/>
      </rPr>
      <t xml:space="preserve">P/FFO 35x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年高位（僅比 </t>
    </r>
    <r>
      <rPr>
        <sz val="10"/>
        <color rgb="FF000000"/>
        <rFont val="Arial"/>
        <family val="0"/>
        <charset val="1"/>
      </rPr>
      <t xml:space="preserve">8% </t>
    </r>
    <r>
      <rPr>
        <sz val="10"/>
        <color rgb="FF000000"/>
        <rFont val="WenQuanYi Zen Hei"/>
        <family val="2"/>
      </rPr>
      <t xml:space="preserve">時間便宜），無安全邊際</t>
    </r>
  </si>
  <si>
    <r>
      <rPr>
        <sz val="10"/>
        <color rgb="FF000000"/>
        <rFont val="WenQuanYi Zen Hei"/>
        <family val="2"/>
      </rPr>
      <t xml:space="preserve">寬：全球物流網絡規模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客戶關係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低資本成本</t>
    </r>
  </si>
  <si>
    <r>
      <rPr>
        <sz val="10"/>
        <color rgb="FF000000"/>
        <rFont val="Arial"/>
        <family val="0"/>
        <charset val="1"/>
      </rPr>
      <t xml:space="preserve">Hamid Moghadam</t>
    </r>
    <r>
      <rPr>
        <sz val="10"/>
        <color rgb="FF000000"/>
        <rFont val="WenQuanYi Zen Hei"/>
        <family val="2"/>
      </rPr>
      <t xml:space="preserve">（創辦人，執行主席）</t>
    </r>
    <r>
      <rPr>
        <sz val="10"/>
        <color rgb="FF000000"/>
        <rFont val="Arial"/>
        <family val="0"/>
        <charset val="1"/>
      </rPr>
      <t xml:space="preserve">/ Dan Letter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CEO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Core FFO </t>
    </r>
    <r>
      <rPr>
        <sz val="10"/>
        <color rgb="FF000000"/>
        <rFont val="WenQuanYi Zen Hei"/>
        <family val="2"/>
      </rPr>
      <t xml:space="preserve">指引上調至 </t>
    </r>
    <r>
      <rPr>
        <sz val="10"/>
        <color rgb="FF000000"/>
        <rFont val="Arial"/>
        <family val="0"/>
        <charset val="1"/>
      </rPr>
      <t xml:space="preserve">$6.22–6.30</t>
    </r>
    <r>
      <rPr>
        <sz val="10"/>
        <color rgb="FF000000"/>
        <rFont val="WenQuanYi Zen Hei"/>
        <family val="2"/>
      </rPr>
      <t xml:space="preserve">；數據中心電力管線 </t>
    </r>
    <r>
      <rPr>
        <sz val="10"/>
        <color rgb="FF000000"/>
        <rFont val="Arial"/>
        <family val="0"/>
        <charset val="1"/>
      </rPr>
      <t xml:space="preserve">5.8GW</t>
    </r>
    <r>
      <rPr>
        <sz val="10"/>
        <color rgb="FF000000"/>
        <rFont val="WenQuanYi Zen Hei"/>
        <family val="2"/>
      </rPr>
      <t xml:space="preserve">；擬收購 </t>
    </r>
    <r>
      <rPr>
        <sz val="10"/>
        <color rgb="FF000000"/>
        <rFont val="Arial"/>
        <family val="0"/>
        <charset val="1"/>
      </rPr>
      <t xml:space="preserve">SEGRO </t>
    </r>
    <r>
      <rPr>
        <sz val="10"/>
        <color rgb="FF000000"/>
        <rFont val="WenQuanYi Zen Hei"/>
        <family val="2"/>
      </rPr>
      <t xml:space="preserve">待觀察</t>
    </r>
  </si>
  <si>
    <r>
      <rPr>
        <sz val="10"/>
        <color rgb="FF000000"/>
        <rFont val="WenQuanYi Zen Hei"/>
        <family val="2"/>
      </rPr>
      <t xml:space="preserve">類似「收費公路」的物流地產；</t>
    </r>
    <r>
      <rPr>
        <sz val="10"/>
        <color rgb="FF000000"/>
        <rFont val="Arial"/>
        <family val="0"/>
        <charset val="1"/>
      </rPr>
      <t xml:space="preserve">P/FFO 20.7x </t>
    </r>
    <r>
      <rPr>
        <sz val="10"/>
        <color rgb="FF000000"/>
        <rFont val="WenQuanYi Zen Hei"/>
        <family val="2"/>
      </rPr>
      <t xml:space="preserve">處合理區間，股息 </t>
    </r>
    <r>
      <rPr>
        <sz val="10"/>
        <color rgb="FF000000"/>
        <rFont val="Arial"/>
        <family val="0"/>
        <charset val="1"/>
      </rPr>
      <t xml:space="preserve">3.3%</t>
    </r>
  </si>
  <si>
    <t xml:space="preserve">寬：互聯生態網絡效應</t>
  </si>
  <si>
    <r>
      <rPr>
        <sz val="10"/>
        <color rgb="FF000000"/>
        <rFont val="Arial"/>
        <family val="0"/>
        <charset val="1"/>
      </rPr>
      <t xml:space="preserve">Adaire Fox-Martin 2024 </t>
    </r>
    <r>
      <rPr>
        <sz val="10"/>
        <color rgb="FF000000"/>
        <rFont val="WenQuanYi Zen Hei"/>
        <family val="2"/>
      </rPr>
      <t xml:space="preserve">年起；</t>
    </r>
    <r>
      <rPr>
        <sz val="10"/>
        <color rgb="FF000000"/>
        <rFont val="Arial"/>
        <family val="0"/>
        <charset val="1"/>
      </rPr>
      <t xml:space="preserve">AFFO </t>
    </r>
    <r>
      <rPr>
        <sz val="10"/>
        <color rgb="FF000000"/>
        <rFont val="WenQuanYi Zen Hei"/>
        <family val="2"/>
      </rPr>
      <t xml:space="preserve">指引上調至 </t>
    </r>
    <r>
      <rPr>
        <sz val="10"/>
        <color rgb="FF000000"/>
        <rFont val="Arial"/>
        <family val="0"/>
        <charset val="1"/>
      </rPr>
      <t xml:space="preserve">$42.69–43.29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年遭沽空報告質疑 </t>
    </r>
    <r>
      <rPr>
        <sz val="10"/>
        <color rgb="FF000000"/>
        <rFont val="Arial"/>
        <family val="0"/>
        <charset val="1"/>
      </rPr>
      <t xml:space="preserve">AFFO </t>
    </r>
    <r>
      <rPr>
        <sz val="10"/>
        <color rgb="FF000000"/>
        <rFont val="WenQuanYi Zen Hei"/>
        <family val="2"/>
      </rPr>
      <t xml:space="preserve">口徑；資本開支 </t>
    </r>
    <r>
      <rPr>
        <sz val="10"/>
        <color rgb="FF000000"/>
        <rFont val="Arial"/>
        <family val="0"/>
        <charset val="1"/>
      </rPr>
      <t xml:space="preserve">$50–60 </t>
    </r>
    <r>
      <rPr>
        <sz val="10"/>
        <color rgb="FF000000"/>
        <rFont val="WenQuanYi Zen Hei"/>
        <family val="2"/>
      </rPr>
      <t xml:space="preserve">億</t>
    </r>
  </si>
  <si>
    <r>
      <rPr>
        <sz val="10"/>
        <color rgb="FF000000"/>
        <rFont val="WenQuanYi Zen Hei"/>
        <family val="2"/>
      </rPr>
      <t xml:space="preserve">護城河強但資本密集、</t>
    </r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年高位</t>
    </r>
  </si>
  <si>
    <r>
      <rPr>
        <sz val="10"/>
        <color rgb="FF000000"/>
        <rFont val="WenQuanYi Zen Hei"/>
        <family val="2"/>
      </rPr>
      <t xml:space="preserve">寬：三寡頭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長約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區域密度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轉換成本</t>
    </r>
  </si>
  <si>
    <r>
      <rPr>
        <sz val="10"/>
        <color rgb="FF000000"/>
        <rFont val="Arial"/>
        <family val="0"/>
        <charset val="1"/>
      </rPr>
      <t xml:space="preserve">Sanjiv Lamba 2022 </t>
    </r>
    <r>
      <rPr>
        <sz val="10"/>
        <color rgb="FF000000"/>
        <rFont val="WenQuanYi Zen Hei"/>
        <family val="2"/>
      </rPr>
      <t xml:space="preserve">年起；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+8–9%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backlog $110 </t>
    </r>
    <r>
      <rPr>
        <sz val="10"/>
        <color rgb="FF000000"/>
        <rFont val="WenQuanYi Zen Hei"/>
        <family val="2"/>
      </rPr>
      <t xml:space="preserve">億；</t>
    </r>
    <r>
      <rPr>
        <sz val="10"/>
        <color rgb="FF000000"/>
        <rFont val="Arial"/>
        <family val="0"/>
        <charset val="1"/>
      </rPr>
      <t xml:space="preserve">ROE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WenQuanYi Zen Hei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18%</t>
    </r>
    <r>
      <rPr>
        <sz val="10"/>
        <color rgb="FF000000"/>
        <rFont val="WenQuanYi Zen Hei"/>
        <family val="2"/>
      </rPr>
      <t xml:space="preserve">；紀律性回購</t>
    </r>
  </si>
  <si>
    <r>
      <rPr>
        <sz val="10"/>
        <color rgb="FF000000"/>
        <rFont val="WenQuanYi Zen Hei"/>
        <family val="2"/>
      </rPr>
      <t xml:space="preserve">最接近「工業版收費站」；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年最低 </t>
    </r>
    <r>
      <rPr>
        <sz val="10"/>
        <color rgb="FF000000"/>
        <rFont val="Arial"/>
        <family val="0"/>
        <charset val="1"/>
      </rPr>
      <t xml:space="preserve">9%</t>
    </r>
    <r>
      <rPr>
        <sz val="10"/>
        <color rgb="FF000000"/>
        <rFont val="WenQuanYi Zen Hei"/>
        <family val="2"/>
      </rPr>
      <t xml:space="preserve">（比 </t>
    </r>
    <r>
      <rPr>
        <sz val="10"/>
        <color rgb="FF000000"/>
        <rFont val="Arial"/>
        <family val="0"/>
        <charset val="1"/>
      </rPr>
      <t xml:space="preserve">91% </t>
    </r>
    <r>
      <rPr>
        <sz val="10"/>
        <color rgb="FF000000"/>
        <rFont val="WenQuanYi Zen Hei"/>
        <family val="2"/>
      </rPr>
      <t xml:space="preserve">時間便宜），質量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估值兼得</t>
    </r>
  </si>
  <si>
    <t xml:space="preserve">無：價格接受者</t>
  </si>
  <si>
    <r>
      <rPr>
        <sz val="10"/>
        <color rgb="FF000000"/>
        <rFont val="Arial"/>
        <family val="0"/>
        <charset val="1"/>
      </rPr>
      <t xml:space="preserve">Natascha Viljoen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起任 </t>
    </r>
    <r>
      <rPr>
        <sz val="10"/>
        <color rgb="FF000000"/>
        <rFont val="Arial"/>
        <family val="0"/>
        <charset val="1"/>
      </rPr>
      <t xml:space="preserve">CEO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FCF </t>
    </r>
    <r>
      <rPr>
        <sz val="10"/>
        <color rgb="FF000000"/>
        <rFont val="WenQuanYi Zen Hei"/>
        <family val="2"/>
      </rPr>
      <t xml:space="preserve">創紀錄 </t>
    </r>
    <r>
      <rPr>
        <sz val="10"/>
        <color rgb="FF000000"/>
        <rFont val="Arial"/>
        <family val="0"/>
        <charset val="1"/>
      </rPr>
      <t xml:space="preserve">$22 </t>
    </r>
    <r>
      <rPr>
        <sz val="10"/>
        <color rgb="FF000000"/>
        <rFont val="WenQuanYi Zen Hei"/>
        <family val="2"/>
      </rPr>
      <t xml:space="preserve">億、淨現金 </t>
    </r>
    <r>
      <rPr>
        <sz val="10"/>
        <color rgb="FF000000"/>
        <rFont val="Arial"/>
        <family val="0"/>
        <charset val="1"/>
      </rPr>
      <t xml:space="preserve">$34 </t>
    </r>
    <r>
      <rPr>
        <sz val="10"/>
        <color rgb="FF000000"/>
        <rFont val="WenQuanYi Zen Hei"/>
        <family val="2"/>
      </rPr>
      <t xml:space="preserve">億、</t>
    </r>
    <r>
      <rPr>
        <sz val="10"/>
        <color rgb="FF000000"/>
        <rFont val="Arial"/>
        <family val="0"/>
        <charset val="1"/>
      </rPr>
      <t xml:space="preserve">$60 </t>
    </r>
    <r>
      <rPr>
        <sz val="10"/>
        <color rgb="FF000000"/>
        <rFont val="WenQuanYi Zen Hei"/>
        <family val="2"/>
      </rPr>
      <t xml:space="preserve">億回購；</t>
    </r>
    <r>
      <rPr>
        <sz val="10"/>
        <color rgb="FF000000"/>
        <rFont val="Arial"/>
        <family val="0"/>
        <charset val="1"/>
      </rPr>
      <t xml:space="preserve">Newcrest </t>
    </r>
    <r>
      <rPr>
        <sz val="10"/>
        <color rgb="FF000000"/>
        <rFont val="WenQuanYi Zen Hei"/>
        <family val="2"/>
      </rPr>
      <t xml:space="preserve">併購攤薄歷史</t>
    </r>
  </si>
  <si>
    <t xml:space="preserve">巴菲特曾形容黃金「不產生任何東西」；盈利完全取決於金價</t>
  </si>
  <si>
    <t xml:space="preserve">窄：一級資產但無定價權</t>
  </si>
  <si>
    <r>
      <rPr>
        <sz val="10"/>
        <color rgb="FF000000"/>
        <rFont val="Arial"/>
        <family val="0"/>
        <charset val="1"/>
      </rPr>
      <t xml:space="preserve">Kathleen Quirk 2024 </t>
    </r>
    <r>
      <rPr>
        <sz val="10"/>
        <color rgb="FF000000"/>
        <rFont val="WenQuanYi Zen Hei"/>
        <family val="2"/>
      </rPr>
      <t xml:space="preserve">年起；</t>
    </r>
    <r>
      <rPr>
        <sz val="10"/>
        <color rgb="FF000000"/>
        <rFont val="Arial"/>
        <family val="0"/>
        <charset val="1"/>
      </rPr>
      <t xml:space="preserve">Grasberg 2025 </t>
    </r>
    <r>
      <rPr>
        <sz val="10"/>
        <color rgb="FF000000"/>
        <rFont val="WenQuanYi Zen Hei"/>
        <family val="2"/>
      </rPr>
      <t xml:space="preserve">年泥石流事故後產能 </t>
    </r>
    <r>
      <rPr>
        <sz val="10"/>
        <color rgb="FF000000"/>
        <rFont val="Arial"/>
        <family val="0"/>
        <charset val="1"/>
      </rPr>
      <t xml:space="preserve">65%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年底恢復；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實現銅價 </t>
    </r>
    <r>
      <rPr>
        <sz val="10"/>
        <color rgb="FF000000"/>
        <rFont val="Arial"/>
        <family val="0"/>
        <charset val="1"/>
      </rPr>
      <t xml:space="preserve">&gt;$6.5/lb</t>
    </r>
  </si>
  <si>
    <t xml:space="preserve">週期性、資本密集；不符巴菲特偏好</t>
  </si>
  <si>
    <r>
      <rPr>
        <i val="true"/>
        <sz val="8"/>
        <color rgb="FF595959"/>
        <rFont val="WenQuanYi Zen Hei"/>
        <family val="2"/>
      </rPr>
      <t xml:space="preserve">估值分 </t>
    </r>
    <r>
      <rPr>
        <i val="true"/>
        <sz val="8"/>
        <color rgb="FF595959"/>
        <rFont val="Arial"/>
        <family val="0"/>
        <charset val="1"/>
      </rPr>
      <t xml:space="preserve">= 50% × </t>
    </r>
    <r>
      <rPr>
        <i val="true"/>
        <sz val="8"/>
        <color rgb="FF595959"/>
        <rFont val="WenQuanYi Zen Hei"/>
        <family val="2"/>
      </rPr>
      <t xml:space="preserve">安全邊際分（−</t>
    </r>
    <r>
      <rPr>
        <i val="true"/>
        <sz val="8"/>
        <color rgb="FF595959"/>
        <rFont val="Arial"/>
        <family val="0"/>
        <charset val="1"/>
      </rPr>
      <t xml:space="preserve">30%→0 </t>
    </r>
    <r>
      <rPr>
        <i val="true"/>
        <sz val="8"/>
        <color rgb="FF595959"/>
        <rFont val="WenQuanYi Zen Hei"/>
        <family val="2"/>
      </rPr>
      <t xml:space="preserve">分，</t>
    </r>
    <r>
      <rPr>
        <i val="true"/>
        <sz val="8"/>
        <color rgb="FF595959"/>
        <rFont val="Arial"/>
        <family val="0"/>
        <charset val="1"/>
      </rPr>
      <t xml:space="preserve">+30%→100 </t>
    </r>
    <r>
      <rPr>
        <i val="true"/>
        <sz val="8"/>
        <color rgb="FF595959"/>
        <rFont val="WenQuanYi Zen Hei"/>
        <family val="2"/>
      </rPr>
      <t xml:space="preserve">分）</t>
    </r>
    <r>
      <rPr>
        <i val="true"/>
        <sz val="8"/>
        <color rgb="FF595959"/>
        <rFont val="Arial"/>
        <family val="0"/>
        <charset val="1"/>
      </rPr>
      <t xml:space="preserve">+ 50% × 5 </t>
    </r>
    <r>
      <rPr>
        <i val="true"/>
        <sz val="8"/>
        <color rgb="FF595959"/>
        <rFont val="WenQuanYi Zen Hei"/>
        <family val="2"/>
      </rPr>
      <t xml:space="preserve">年預期年化回報分（</t>
    </r>
    <r>
      <rPr>
        <i val="true"/>
        <sz val="8"/>
        <color rgb="FF595959"/>
        <rFont val="Arial"/>
        <family val="0"/>
        <charset val="1"/>
      </rPr>
      <t xml:space="preserve">2%→0 </t>
    </r>
    <r>
      <rPr>
        <i val="true"/>
        <sz val="8"/>
        <color rgb="FF595959"/>
        <rFont val="WenQuanYi Zen Hei"/>
        <family val="2"/>
      </rPr>
      <t xml:space="preserve">分，</t>
    </r>
    <r>
      <rPr>
        <i val="true"/>
        <sz val="8"/>
        <color rgb="FF595959"/>
        <rFont val="Arial"/>
        <family val="0"/>
        <charset val="1"/>
      </rPr>
      <t xml:space="preserve">12%→100 </t>
    </r>
    <r>
      <rPr>
        <i val="true"/>
        <sz val="8"/>
        <color rgb="FF595959"/>
        <rFont val="WenQuanYi Zen Hei"/>
        <family val="2"/>
      </rPr>
      <t xml:space="preserve">分）。</t>
    </r>
  </si>
  <si>
    <t xml:space="preserve">巴菲特選股邏輯（本評分卡的框架來源）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</si>
  <si>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WenQuanYi Zen Hei"/>
        <family val="2"/>
      </rPr>
      <t xml:space="preserve">能力圈：只買自己看得懂、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年後大概率仍存在的業務（→ 業務易懂分）。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</si>
  <si>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WenQuanYi Zen Hei"/>
        <family val="2"/>
      </rPr>
      <t xml:space="preserve">持久競爭優勢（</t>
    </r>
    <r>
      <rPr>
        <sz val="10"/>
        <color rgb="FF000000"/>
        <rFont val="Arial"/>
        <family val="0"/>
        <charset val="1"/>
      </rPr>
      <t xml:space="preserve">Moat</t>
    </r>
    <r>
      <rPr>
        <sz val="10"/>
        <color rgb="FF000000"/>
        <rFont val="WenQuanYi Zen Hei"/>
        <family val="2"/>
      </rPr>
      <t xml:space="preserve">）：「我們尋找被寬闊護城河保護的經濟城堡」（→ 權重最高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</si>
  <si>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WenQuanYi Zen Hei"/>
        <family val="2"/>
      </rPr>
      <t xml:space="preserve">高且穩定的 </t>
    </r>
    <r>
      <rPr>
        <sz val="10"/>
        <color rgb="FF000000"/>
        <rFont val="Arial"/>
        <family val="0"/>
        <charset val="1"/>
      </rPr>
      <t xml:space="preserve">ROE</t>
    </r>
    <r>
      <rPr>
        <sz val="10"/>
        <color rgb="FF000000"/>
        <rFont val="WenQuanYi Zen Hei"/>
        <family val="2"/>
      </rPr>
      <t xml:space="preserve">、低負債：不靠槓桿也能賺高回報（→ </t>
    </r>
    <r>
      <rPr>
        <sz val="10"/>
        <color rgb="FF000000"/>
        <rFont val="Arial"/>
        <family val="0"/>
        <charset val="1"/>
      </rPr>
      <t xml:space="preserve">ROE </t>
    </r>
    <r>
      <rPr>
        <sz val="10"/>
        <color rgb="FF000000"/>
        <rFont val="WenQuanYi Zen Hei"/>
        <family val="2"/>
      </rPr>
      <t xml:space="preserve">質量、資產負債表）。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</si>
  <si>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WenQuanYi Zen Hei"/>
        <family val="2"/>
      </rPr>
      <t xml:space="preserve">誠實能幹、以股東利益為先的管理層，資本配置能力決定長期複利（→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</si>
  <si>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WenQuanYi Zen Hei"/>
        <family val="2"/>
      </rPr>
      <t xml:space="preserve">安全邊際：「以合理價格買入卓越公司，勝過以低價買入平庸公司」（→ 估值分，佔綜合分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</si>
  <si>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WenQuanYi Zen Hei"/>
        <family val="2"/>
      </rPr>
      <t xml:space="preserve">避開：需持續大量資本開支且無定價權的週期業務（礦業）；價格完全取決於商品的資產。</t>
    </r>
  </si>
  <si>
    <r>
      <rPr>
        <b val="true"/>
        <sz val="16"/>
        <color rgb="FF1F3864"/>
        <rFont val="Arial"/>
        <family val="0"/>
        <charset val="1"/>
      </rPr>
      <t xml:space="preserve">5 </t>
    </r>
    <r>
      <rPr>
        <b val="true"/>
        <sz val="16"/>
        <color rgb="FF1F3864"/>
        <rFont val="WenQuanYi Zen Hei"/>
        <family val="2"/>
      </rPr>
      <t xml:space="preserve">年期選股 — 預期回報、排序與組合</t>
    </r>
  </si>
  <si>
    <r>
      <rPr>
        <i val="true"/>
        <sz val="8"/>
        <color rgb="FF595959"/>
        <rFont val="Arial"/>
        <family val="0"/>
        <charset val="1"/>
      </rPr>
      <t xml:space="preserve">5Y </t>
    </r>
    <r>
      <rPr>
        <i val="true"/>
        <sz val="8"/>
        <color rgb="FF595959"/>
        <rFont val="WenQuanYi Zen Hei"/>
        <family val="2"/>
      </rPr>
      <t xml:space="preserve">預期年化 </t>
    </r>
    <r>
      <rPr>
        <i val="true"/>
        <sz val="8"/>
        <color rgb="FF595959"/>
        <rFont val="Arial"/>
        <family val="0"/>
        <charset val="1"/>
      </rPr>
      <t xml:space="preserve">= [(1+g)^5 × </t>
    </r>
    <r>
      <rPr>
        <i val="true"/>
        <sz val="8"/>
        <color rgb="FF595959"/>
        <rFont val="WenQuanYi Zen Hei"/>
        <family val="2"/>
      </rPr>
      <t xml:space="preserve">退出倍數</t>
    </r>
    <r>
      <rPr>
        <i val="true"/>
        <sz val="8"/>
        <color rgb="FF595959"/>
        <rFont val="Arial"/>
        <family val="0"/>
        <charset val="1"/>
      </rPr>
      <t xml:space="preserve">/</t>
    </r>
    <r>
      <rPr>
        <i val="true"/>
        <sz val="8"/>
        <color rgb="FF595959"/>
        <rFont val="WenQuanYi Zen Hei"/>
        <family val="2"/>
      </rPr>
      <t xml:space="preserve">買入倍數</t>
    </r>
    <r>
      <rPr>
        <i val="true"/>
        <sz val="8"/>
        <color rgb="FF595959"/>
        <rFont val="Arial"/>
        <family val="0"/>
        <charset val="1"/>
      </rPr>
      <t xml:space="preserve">]^(1/5) − 1 + </t>
    </r>
    <r>
      <rPr>
        <i val="true"/>
        <sz val="8"/>
        <color rgb="FF595959"/>
        <rFont val="WenQuanYi Zen Hei"/>
        <family val="2"/>
      </rPr>
      <t xml:space="preserve">股息率。</t>
    </r>
    <r>
      <rPr>
        <i val="true"/>
        <sz val="8"/>
        <color rgb="FF595959"/>
        <rFont val="Arial"/>
        <family val="0"/>
        <charset val="1"/>
      </rPr>
      <t xml:space="preserve">g</t>
    </r>
    <r>
      <rPr>
        <i val="true"/>
        <sz val="8"/>
        <color rgb="FF595959"/>
        <rFont val="WenQuanYi Zen Hei"/>
        <family val="2"/>
      </rPr>
      <t xml:space="preserve">、退出倍數為分析師假設（黃底）；綜合分來自 </t>
    </r>
    <r>
      <rPr>
        <i val="true"/>
        <sz val="8"/>
        <color rgb="FF595959"/>
        <rFont val="Arial"/>
        <family val="0"/>
        <charset val="1"/>
      </rPr>
      <t xml:space="preserve">Scorecard</t>
    </r>
    <r>
      <rPr>
        <i val="true"/>
        <sz val="8"/>
        <color rgb="FF595959"/>
        <rFont val="WenQuanYi Zen Hei"/>
        <family val="2"/>
      </rPr>
      <t xml:space="preserve">。</t>
    </r>
  </si>
  <si>
    <r>
      <rPr>
        <b val="true"/>
        <sz val="10"/>
        <color rgb="FF1F3864"/>
        <rFont val="WenQuanYi Zen Hei"/>
        <family val="2"/>
      </rPr>
      <t xml:space="preserve">結論：</t>
    </r>
    <r>
      <rPr>
        <b val="true"/>
        <sz val="10"/>
        <color rgb="FF1F3864"/>
        <rFont val="Arial"/>
        <family val="0"/>
        <charset val="1"/>
      </rPr>
      <t xml:space="preserve">5 </t>
    </r>
    <r>
      <rPr>
        <b val="true"/>
        <sz val="10"/>
        <color rgb="FF1F3864"/>
        <rFont val="WenQuanYi Zen Hei"/>
        <family val="2"/>
      </rPr>
      <t xml:space="preserve">年期首選 </t>
    </r>
    <r>
      <rPr>
        <b val="true"/>
        <sz val="10"/>
        <color rgb="FF1F3864"/>
        <rFont val="Arial"/>
        <family val="0"/>
        <charset val="1"/>
      </rPr>
      <t xml:space="preserve">LIN</t>
    </r>
    <r>
      <rPr>
        <b val="true"/>
        <sz val="10"/>
        <color rgb="FF1F3864"/>
        <rFont val="WenQuanYi Zen Hei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BRK.B</t>
    </r>
    <r>
      <rPr>
        <b val="true"/>
        <sz val="10"/>
        <color rgb="FF1F3864"/>
        <rFont val="WenQuanYi Zen Hei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V</t>
    </r>
    <r>
      <rPr>
        <b val="true"/>
        <sz val="10"/>
        <color rgb="FF1F3864"/>
        <rFont val="WenQuanYi Zen Hei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PLD</t>
    </r>
    <r>
      <rPr>
        <b val="true"/>
        <sz val="10"/>
        <color rgb="FF1F3864"/>
        <rFont val="WenQuanYi Zen Hei"/>
        <family val="2"/>
      </rPr>
      <t xml:space="preserve">、</t>
    </r>
    <r>
      <rPr>
        <b val="true"/>
        <sz val="10"/>
        <color rgb="FF1F3864"/>
        <rFont val="Arial"/>
        <family val="0"/>
        <charset val="1"/>
      </rPr>
      <t xml:space="preserve">JPM </t>
    </r>
    <r>
      <rPr>
        <b val="true"/>
        <sz val="10"/>
        <color rgb="FF1F3864"/>
        <rFont val="WenQuanYi Zen Hei"/>
        <family val="2"/>
      </rPr>
      <t xml:space="preserve">為核心，</t>
    </r>
    <r>
      <rPr>
        <b val="true"/>
        <sz val="10"/>
        <color rgb="FF1F3864"/>
        <rFont val="Arial"/>
        <family val="0"/>
        <charset val="1"/>
      </rPr>
      <t xml:space="preserve">NEE </t>
    </r>
    <r>
      <rPr>
        <b val="true"/>
        <sz val="10"/>
        <color rgb="FF1F3864"/>
        <rFont val="WenQuanYi Zen Hei"/>
        <family val="2"/>
      </rPr>
      <t xml:space="preserve">作逆向小倉位。核心特徵＝寬護城河 </t>
    </r>
    <r>
      <rPr>
        <b val="true"/>
        <sz val="10"/>
        <color rgb="FF1F3864"/>
        <rFont val="Arial"/>
        <family val="0"/>
        <charset val="1"/>
      </rPr>
      <t xml:space="preserve">+ </t>
    </r>
    <r>
      <rPr>
        <b val="true"/>
        <sz val="10"/>
        <color rgb="FF1F3864"/>
        <rFont val="WenQuanYi Zen Hei"/>
        <family val="2"/>
      </rPr>
      <t xml:space="preserve">優秀管理層 </t>
    </r>
    <r>
      <rPr>
        <b val="true"/>
        <sz val="10"/>
        <color rgb="FF1F3864"/>
        <rFont val="Arial"/>
        <family val="0"/>
        <charset val="1"/>
      </rPr>
      <t xml:space="preserve">+ </t>
    </r>
    <r>
      <rPr>
        <b val="true"/>
        <sz val="10"/>
        <color rgb="FF1F3864"/>
        <rFont val="WenQuanYi Zen Hei"/>
        <family val="2"/>
      </rPr>
      <t xml:space="preserve">估值不高於歷史中位；刻意迴避週期頂部（</t>
    </r>
    <r>
      <rPr>
        <b val="true"/>
        <sz val="10"/>
        <color rgb="FF1F3864"/>
        <rFont val="Arial"/>
        <family val="0"/>
        <charset val="1"/>
      </rPr>
      <t xml:space="preserve">NEM/FCX/</t>
    </r>
    <r>
      <rPr>
        <b val="true"/>
        <sz val="10"/>
        <color rgb="FF1F3864"/>
        <rFont val="WenQuanYi Zen Hei"/>
        <family val="2"/>
      </rPr>
      <t xml:space="preserve">能源）與估值過高的好公司（</t>
    </r>
    <r>
      <rPr>
        <b val="true"/>
        <sz val="10"/>
        <color rgb="FF1F3864"/>
        <rFont val="Arial"/>
        <family val="0"/>
        <charset val="1"/>
      </rPr>
      <t xml:space="preserve">WELL/EQIX</t>
    </r>
    <r>
      <rPr>
        <b val="true"/>
        <sz val="10"/>
        <color rgb="FF1F3864"/>
        <rFont val="WenQuanYi Zen Hei"/>
        <family val="2"/>
      </rPr>
      <t xml:space="preserve">）。</t>
    </r>
  </si>
  <si>
    <t xml:space="preserve">倍數基數</t>
  </si>
  <si>
    <t xml:space="preserve">基數值</t>
  </si>
  <si>
    <t xml:space="preserve">買入倍數</t>
  </si>
  <si>
    <t xml:space="preserve">退出倍數</t>
  </si>
  <si>
    <r>
      <rPr>
        <b val="true"/>
        <sz val="10"/>
        <color rgb="FFFFFFFF"/>
        <rFont val="Arial"/>
        <family val="0"/>
        <charset val="1"/>
      </rPr>
      <t xml:space="preserve">g (5</t>
    </r>
    <r>
      <rPr>
        <b val="true"/>
        <sz val="10"/>
        <color rgb="FFFFFFFF"/>
        <rFont val="WenQuanYi Zen Hei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CAGR)</t>
    </r>
  </si>
  <si>
    <r>
      <rPr>
        <b val="true"/>
        <sz val="10"/>
        <color rgb="FFFFFFFF"/>
        <rFont val="WenQuanYi Zen Hei"/>
        <family val="2"/>
      </rPr>
      <t xml:space="preserve">倍數變化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年</t>
    </r>
  </si>
  <si>
    <r>
      <rPr>
        <b val="true"/>
        <sz val="10"/>
        <color rgb="FFFFFFFF"/>
        <rFont val="WenQuanYi Zen Hei"/>
        <family val="2"/>
      </rPr>
      <t xml:space="preserve">盈利貢獻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年</t>
    </r>
  </si>
  <si>
    <t xml:space="preserve">買入理由（為什麼選它）</t>
  </si>
  <si>
    <r>
      <rPr>
        <b val="true"/>
        <sz val="10"/>
        <color rgb="FFFFFFFF"/>
        <rFont val="WenQuanYi Zen Hei"/>
        <family val="2"/>
      </rPr>
      <t xml:space="preserve">出場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判斷錯誤條件（</t>
    </r>
    <r>
      <rPr>
        <b val="true"/>
        <sz val="10"/>
        <color rgb="FFFFFFFF"/>
        <rFont val="Arial"/>
        <family val="0"/>
        <charset val="1"/>
      </rPr>
      <t xml:space="preserve">Kill criteria</t>
    </r>
    <r>
      <rPr>
        <b val="true"/>
        <sz val="10"/>
        <color rgb="FFFFFFFF"/>
        <rFont val="WenQuanYi Zen Hei"/>
        <family val="2"/>
      </rPr>
      <t xml:space="preserve">）</t>
    </r>
  </si>
  <si>
    <t xml:space="preserve">核心持有</t>
  </si>
  <si>
    <r>
      <rPr>
        <sz val="10"/>
        <color rgb="FF000000"/>
        <rFont val="WenQuanYi Zen Hei"/>
        <family val="2"/>
      </rPr>
      <t xml:space="preserve">質量最高、下行保護最強：</t>
    </r>
    <r>
      <rPr>
        <sz val="10"/>
        <color rgb="FF000000"/>
        <rFont val="Arial"/>
        <family val="0"/>
        <charset val="1"/>
      </rPr>
      <t xml:space="preserve">$3,655 </t>
    </r>
    <r>
      <rPr>
        <sz val="10"/>
        <color rgb="FF000000"/>
        <rFont val="WenQuanYi Zen Hei"/>
        <family val="2"/>
      </rPr>
      <t xml:space="preserve">億現金在加息期賺取 </t>
    </r>
    <r>
      <rPr>
        <sz val="10"/>
        <color rgb="FF000000"/>
        <rFont val="Arial"/>
        <family val="0"/>
        <charset val="1"/>
      </rPr>
      <t xml:space="preserve">~4% </t>
    </r>
    <r>
      <rPr>
        <sz val="10"/>
        <color rgb="FF000000"/>
        <rFont val="WenQuanYi Zen Hei"/>
        <family val="2"/>
      </rPr>
      <t xml:space="preserve">利息並等待危機中的收購機會；</t>
    </r>
    <r>
      <rPr>
        <sz val="10"/>
        <color rgb="FF000000"/>
        <rFont val="Arial"/>
        <family val="0"/>
        <charset val="1"/>
      </rPr>
      <t xml:space="preserve">P/B 1.49 </t>
    </r>
    <r>
      <rPr>
        <sz val="10"/>
        <color rgb="FF000000"/>
        <rFont val="WenQuanYi Zen Hei"/>
        <family val="2"/>
      </rPr>
      <t xml:space="preserve">接近歷史回購區間，</t>
    </r>
    <r>
      <rPr>
        <sz val="10"/>
        <color rgb="FF000000"/>
        <rFont val="Arial"/>
        <family val="0"/>
        <charset val="1"/>
      </rPr>
      <t xml:space="preserve">Abel </t>
    </r>
    <r>
      <rPr>
        <sz val="10"/>
        <color rgb="FF000000"/>
        <rFont val="WenQuanYi Zen Hei"/>
        <family val="2"/>
      </rPr>
      <t xml:space="preserve">已用真金白銀回購（</t>
    </r>
    <r>
      <rPr>
        <sz val="10"/>
        <color rgb="FF000000"/>
        <rFont val="Arial"/>
        <family val="0"/>
        <charset val="1"/>
      </rPr>
      <t xml:space="preserve">Q2 $45 </t>
    </r>
    <r>
      <rPr>
        <sz val="10"/>
        <color rgb="FF000000"/>
        <rFont val="WenQuanYi Zen Hei"/>
        <family val="2"/>
      </rPr>
      <t xml:space="preserve">億）；營運盈利 </t>
    </r>
    <r>
      <rPr>
        <sz val="10"/>
        <color rgb="FF000000"/>
        <rFont val="Arial"/>
        <family val="0"/>
        <charset val="1"/>
      </rPr>
      <t xml:space="preserve">+16%</t>
    </r>
    <r>
      <rPr>
        <sz val="10"/>
        <color rgb="FF000000"/>
        <rFont val="WenQuanYi Zen Hei"/>
        <family val="2"/>
      </rPr>
      <t xml:space="preserve">。是組合的「壓艙石」。</t>
    </r>
  </si>
  <si>
    <r>
      <rPr>
        <sz val="10"/>
        <color rgb="FF000000"/>
        <rFont val="WenQuanYi Zen Hei"/>
        <family val="2"/>
      </rPr>
      <t xml:space="preserve">回購在 </t>
    </r>
    <r>
      <rPr>
        <sz val="10"/>
        <color rgb="FF000000"/>
        <rFont val="Arial"/>
        <family val="0"/>
        <charset val="1"/>
      </rPr>
      <t xml:space="preserve">P/B&lt;1.4 </t>
    </r>
    <r>
      <rPr>
        <sz val="10"/>
        <color rgb="FF000000"/>
        <rFont val="WenQuanYi Zen Hei"/>
        <family val="2"/>
      </rPr>
      <t xml:space="preserve">時停止（反映管理層不再認為便宜）；高價大型併購；保險承保結構性虧損；</t>
    </r>
    <r>
      <rPr>
        <sz val="10"/>
        <color rgb="FF000000"/>
        <rFont val="Arial"/>
        <family val="0"/>
        <charset val="1"/>
      </rPr>
      <t xml:space="preserve">P/B&gt;1.8 </t>
    </r>
    <r>
      <rPr>
        <sz val="10"/>
        <color rgb="FF000000"/>
        <rFont val="WenQuanYi Zen Hei"/>
        <family val="2"/>
      </rPr>
      <t xml:space="preserve">減持</t>
    </r>
  </si>
  <si>
    <t xml:space="preserve">Fwd EPS</t>
  </si>
  <si>
    <t xml:space="preserve">核心持有（逢低加碼）</t>
  </si>
  <si>
    <r>
      <rPr>
        <sz val="10"/>
        <color rgb="FF000000"/>
        <rFont val="WenQuanYi Zen Hei"/>
        <family val="2"/>
      </rPr>
      <t xml:space="preserve">美國最佳銀行：</t>
    </r>
    <r>
      <rPr>
        <sz val="10"/>
        <color rgb="FF000000"/>
        <rFont val="Arial"/>
        <family val="0"/>
        <charset val="1"/>
      </rPr>
      <t xml:space="preserve">ROE 17–18%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CET1 14%+</t>
    </r>
    <r>
      <rPr>
        <sz val="10"/>
        <color rgb="FF000000"/>
        <rFont val="WenQuanYi Zen Hei"/>
        <family val="2"/>
      </rPr>
      <t xml:space="preserve">；加息擴大 </t>
    </r>
    <r>
      <rPr>
        <sz val="10"/>
        <color rgb="FF000000"/>
        <rFont val="Arial"/>
        <family val="0"/>
        <charset val="1"/>
      </rPr>
      <t xml:space="preserve">NII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~$1,055 </t>
    </r>
    <r>
      <rPr>
        <sz val="10"/>
        <color rgb="FF000000"/>
        <rFont val="WenQuanYi Zen Hei"/>
        <family val="2"/>
      </rPr>
      <t xml:space="preserve">億）；估值處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年中位附近，不貴不便宜，建議股價 </t>
    </r>
    <r>
      <rPr>
        <sz val="10"/>
        <color rgb="FF000000"/>
        <rFont val="Arial"/>
        <family val="0"/>
        <charset val="1"/>
      </rPr>
      <t xml:space="preserve">&lt;$300</t>
    </r>
    <r>
      <rPr>
        <sz val="10"/>
        <color rgb="FF000000"/>
        <rFont val="WenQuanYi Zen Hei"/>
        <family val="2"/>
      </rPr>
      <t xml:space="preserve">（≈</t>
    </r>
    <r>
      <rPr>
        <sz val="10"/>
        <color rgb="FF000000"/>
        <rFont val="Arial"/>
        <family val="0"/>
        <charset val="1"/>
      </rPr>
      <t xml:space="preserve">2.25x P/B</t>
    </r>
    <r>
      <rPr>
        <sz val="10"/>
        <color rgb="FF000000"/>
        <rFont val="WenQuanYi Zen Hei"/>
        <family val="2"/>
      </rPr>
      <t xml:space="preserve">）時加碼。</t>
    </r>
  </si>
  <si>
    <r>
      <rPr>
        <sz val="10"/>
        <color rgb="FF000000"/>
        <rFont val="Arial"/>
        <family val="0"/>
        <charset val="1"/>
      </rPr>
      <t xml:space="preserve">CET1 &lt; 12.5%</t>
    </r>
    <r>
      <rPr>
        <sz val="10"/>
        <color rgb="FF000000"/>
        <rFont val="WenQuanYi Zen Hei"/>
        <family val="2"/>
      </rPr>
      <t xml:space="preserve">；淨撇賬率 </t>
    </r>
    <r>
      <rPr>
        <sz val="10"/>
        <color rgb="FF000000"/>
        <rFont val="Arial"/>
        <family val="0"/>
        <charset val="1"/>
      </rPr>
      <t xml:space="preserve">&gt; 1.5%</t>
    </r>
    <r>
      <rPr>
        <sz val="10"/>
        <color rgb="FF000000"/>
        <rFont val="WenQuanYi Zen Hei"/>
        <family val="2"/>
      </rPr>
      <t xml:space="preserve">；接班混亂；</t>
    </r>
    <r>
      <rPr>
        <sz val="10"/>
        <color rgb="FF000000"/>
        <rFont val="Arial"/>
        <family val="0"/>
        <charset val="1"/>
      </rPr>
      <t xml:space="preserve">P/TBV &gt; 3x </t>
    </r>
    <r>
      <rPr>
        <sz val="10"/>
        <color rgb="FF000000"/>
        <rFont val="WenQuanYi Zen Hei"/>
        <family val="2"/>
      </rPr>
      <t xml:space="preserve">減持</t>
    </r>
  </si>
  <si>
    <r>
      <rPr>
        <sz val="10"/>
        <color rgb="FF000000"/>
        <rFont val="WenQuanYi Zen Hei"/>
        <family val="2"/>
      </rPr>
      <t xml:space="preserve">全美最寬護城河之一（雙寡頭網絡效應、毛利 </t>
    </r>
    <r>
      <rPr>
        <sz val="10"/>
        <color rgb="FF000000"/>
        <rFont val="Arial"/>
        <family val="0"/>
        <charset val="1"/>
      </rPr>
      <t xml:space="preserve">98%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ROE 53%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EPS 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CAGR 16%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Fwd P/E 26.6x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年區間中段，屬「合理價格買卓越公司」；穩定幣以結算層納入而非被取代（年化 </t>
    </r>
    <r>
      <rPr>
        <sz val="10"/>
        <color rgb="FF000000"/>
        <rFont val="Arial"/>
        <family val="0"/>
        <charset val="1"/>
      </rPr>
      <t xml:space="preserve">$46 </t>
    </r>
    <r>
      <rPr>
        <sz val="10"/>
        <color rgb="FF000000"/>
        <rFont val="WenQuanYi Zen Hei"/>
        <family val="2"/>
      </rPr>
      <t xml:space="preserve">億）。</t>
    </r>
  </si>
  <si>
    <r>
      <rPr>
        <sz val="10"/>
        <color rgb="FF000000"/>
        <rFont val="Arial"/>
        <family val="0"/>
        <charset val="1"/>
      </rPr>
      <t xml:space="preserve">CCCA </t>
    </r>
    <r>
      <rPr>
        <sz val="10"/>
        <color rgb="FF000000"/>
        <rFont val="WenQuanYi Zen Hei"/>
        <family val="2"/>
      </rPr>
      <t xml:space="preserve">通過或美國交換費上限；支付量增速 </t>
    </r>
    <r>
      <rPr>
        <sz val="10"/>
        <color rgb="FF000000"/>
        <rFont val="Arial"/>
        <family val="0"/>
        <charset val="1"/>
      </rPr>
      <t xml:space="preserve">&lt; 5% </t>
    </r>
    <r>
      <rPr>
        <sz val="10"/>
        <color rgb="FF000000"/>
        <rFont val="WenQuanYi Zen Hei"/>
        <family val="2"/>
      </rPr>
      <t xml:space="preserve">連續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季；穩定幣在美國零售端實質分流；</t>
    </r>
    <r>
      <rPr>
        <sz val="10"/>
        <color rgb="FF000000"/>
        <rFont val="Arial"/>
        <family val="0"/>
        <charset val="1"/>
      </rPr>
      <t xml:space="preserve">Fwd P/E &gt; 32x </t>
    </r>
    <r>
      <rPr>
        <sz val="10"/>
        <color rgb="FF000000"/>
        <rFont val="WenQuanYi Zen Hei"/>
        <family val="2"/>
      </rPr>
      <t xml:space="preserve">減持</t>
    </r>
  </si>
  <si>
    <t xml:space="preserve">逆向觀察（小倉位）</t>
  </si>
  <si>
    <r>
      <rPr>
        <sz val="10"/>
        <color rgb="FF000000"/>
        <rFont val="WenQuanYi Zen Hei"/>
        <family val="2"/>
      </rPr>
      <t xml:space="preserve">估值處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年低位（</t>
    </r>
    <r>
      <rPr>
        <sz val="10"/>
        <color rgb="FF000000"/>
        <rFont val="Arial"/>
        <family val="0"/>
        <charset val="1"/>
      </rPr>
      <t xml:space="preserve">P/E 17.4x</t>
    </r>
    <r>
      <rPr>
        <sz val="10"/>
        <color rgb="FF000000"/>
        <rFont val="WenQuanYi Zen Hei"/>
        <family val="2"/>
      </rPr>
      <t xml:space="preserve">，比 </t>
    </r>
    <r>
      <rPr>
        <sz val="10"/>
        <color rgb="FF000000"/>
        <rFont val="Arial"/>
        <family val="0"/>
        <charset val="1"/>
      </rPr>
      <t xml:space="preserve">87% </t>
    </r>
    <r>
      <rPr>
        <sz val="10"/>
        <color rgb="FF000000"/>
        <rFont val="WenQuanYi Zen Hei"/>
        <family val="2"/>
      </rPr>
      <t xml:space="preserve">時間便宜）、股息率 </t>
    </r>
    <r>
      <rPr>
        <sz val="10"/>
        <color rgb="FF000000"/>
        <rFont val="Arial"/>
        <family val="0"/>
        <charset val="1"/>
      </rPr>
      <t xml:space="preserve">3.2%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數據中心用電長期利好；若 </t>
    </r>
    <r>
      <rPr>
        <sz val="10"/>
        <color rgb="FF000000"/>
        <rFont val="Arial"/>
        <family val="0"/>
        <charset val="1"/>
      </rPr>
      <t xml:space="preserve">10/21 Q3 </t>
    </r>
    <r>
      <rPr>
        <sz val="10"/>
        <color rgb="FF000000"/>
        <rFont val="WenQuanYi Zen Hei"/>
        <family val="2"/>
      </rPr>
      <t xml:space="preserve">業績與 </t>
    </r>
    <r>
      <rPr>
        <sz val="10"/>
        <color rgb="FF000000"/>
        <rFont val="Arial"/>
        <family val="0"/>
        <charset val="1"/>
      </rPr>
      <t xml:space="preserve">Dominion </t>
    </r>
    <r>
      <rPr>
        <sz val="10"/>
        <color rgb="FF000000"/>
        <rFont val="WenQuanYi Zen Hei"/>
        <family val="2"/>
      </rPr>
      <t xml:space="preserve">審批順利，估值修復空間最大（</t>
    </r>
    <r>
      <rPr>
        <sz val="10"/>
        <color rgb="FF000000"/>
        <rFont val="Arial"/>
        <family val="0"/>
        <charset val="1"/>
      </rPr>
      <t xml:space="preserve">5Y </t>
    </r>
    <r>
      <rPr>
        <sz val="10"/>
        <color rgb="FF000000"/>
        <rFont val="WenQuanYi Zen Hei"/>
        <family val="2"/>
      </rPr>
      <t xml:space="preserve">預期回報最高）。</t>
    </r>
  </si>
  <si>
    <r>
      <rPr>
        <sz val="10"/>
        <color rgb="FF000000"/>
        <rFont val="Arial"/>
        <family val="0"/>
        <charset val="1"/>
      </rPr>
      <t xml:space="preserve">Dominion </t>
    </r>
    <r>
      <rPr>
        <sz val="10"/>
        <color rgb="FF000000"/>
        <rFont val="WenQuanYi Zen Hei"/>
        <family val="2"/>
      </rPr>
      <t xml:space="preserve">審批附帶苛刻條件或需大量增發股份；</t>
    </r>
    <r>
      <rPr>
        <sz val="10"/>
        <color rgb="FF000000"/>
        <rFont val="Arial"/>
        <family val="0"/>
        <charset val="1"/>
      </rPr>
      <t xml:space="preserve">10Y &gt; 5.25%</t>
    </r>
    <r>
      <rPr>
        <sz val="10"/>
        <color rgb="FF000000"/>
        <rFont val="WenQuanYi Zen Hei"/>
        <family val="2"/>
      </rPr>
      <t xml:space="preserve">；信用評級下調</t>
    </r>
  </si>
  <si>
    <r>
      <rPr>
        <sz val="10"/>
        <color rgb="FF000000"/>
        <rFont val="WenQuanYi Zen Hei"/>
        <family val="2"/>
      </rPr>
      <t xml:space="preserve">核電稀缺資產，但盈利可預測性不足、估值仍在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年中位上方。</t>
    </r>
  </si>
  <si>
    <t xml:space="preserve">備選</t>
  </si>
  <si>
    <r>
      <rPr>
        <sz val="10"/>
        <color rgb="FF000000"/>
        <rFont val="Arial"/>
        <family val="0"/>
        <charset val="1"/>
      </rPr>
      <t xml:space="preserve">17GW </t>
    </r>
    <r>
      <rPr>
        <sz val="10"/>
        <color rgb="FF000000"/>
        <rFont val="WenQuanYi Zen Hei"/>
        <family val="2"/>
      </rPr>
      <t xml:space="preserve">大負荷合約鎖定增長、股息 </t>
    </r>
    <r>
      <rPr>
        <sz val="10"/>
        <color rgb="FF000000"/>
        <rFont val="Arial"/>
        <family val="0"/>
        <charset val="1"/>
      </rPr>
      <t xml:space="preserve">3.5%</t>
    </r>
    <r>
      <rPr>
        <sz val="10"/>
        <color rgb="FF000000"/>
        <rFont val="WenQuanYi Zen Hei"/>
        <family val="2"/>
      </rPr>
      <t xml:space="preserve">；但高負債、共識多為 </t>
    </r>
    <r>
      <rPr>
        <sz val="10"/>
        <color rgb="FF000000"/>
        <rFont val="Arial"/>
        <family val="0"/>
        <charset val="1"/>
      </rPr>
      <t xml:space="preserve">Hold</t>
    </r>
    <r>
      <rPr>
        <sz val="10"/>
        <color rgb="FF000000"/>
        <rFont val="WenQuanYi Zen Hei"/>
        <family val="2"/>
      </rPr>
      <t xml:space="preserve">；作公用事業備選。</t>
    </r>
  </si>
  <si>
    <t xml:space="preserve">不買（估值過高）</t>
  </si>
  <si>
    <r>
      <rPr>
        <sz val="10"/>
        <color rgb="FF000000"/>
        <rFont val="WenQuanYi Zen Hei"/>
        <family val="2"/>
      </rPr>
      <t xml:space="preserve">營運極佳但 </t>
    </r>
    <r>
      <rPr>
        <sz val="10"/>
        <color rgb="FF000000"/>
        <rFont val="Arial"/>
        <family val="0"/>
        <charset val="1"/>
      </rPr>
      <t xml:space="preserve">P/FFO 35x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年高位，估值壓縮風險抵消增長。</t>
    </r>
  </si>
  <si>
    <r>
      <rPr>
        <sz val="10"/>
        <color rgb="FF000000"/>
        <rFont val="WenQuanYi Zen Hei"/>
        <family val="2"/>
      </rPr>
      <t xml:space="preserve">全球物流地產龍頭：</t>
    </r>
    <r>
      <rPr>
        <sz val="10"/>
        <color rgb="FF000000"/>
        <rFont val="Arial"/>
        <family val="0"/>
        <charset val="1"/>
      </rPr>
      <t xml:space="preserve">P/FFO 20.7x </t>
    </r>
    <r>
      <rPr>
        <sz val="10"/>
        <color rgb="FF000000"/>
        <rFont val="WenQuanYi Zen Hei"/>
        <family val="2"/>
      </rPr>
      <t xml:space="preserve">合理、股息 </t>
    </r>
    <r>
      <rPr>
        <sz val="10"/>
        <color rgb="FF000000"/>
        <rFont val="Arial"/>
        <family val="0"/>
        <charset val="1"/>
      </rPr>
      <t xml:space="preserve">3.3%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 FFO </t>
    </r>
    <r>
      <rPr>
        <sz val="10"/>
        <color rgb="FF000000"/>
        <rFont val="WenQuanYi Zen Hei"/>
        <family val="2"/>
      </rPr>
      <t xml:space="preserve">指引上調；數據中心電力管線 </t>
    </r>
    <r>
      <rPr>
        <sz val="10"/>
        <color rgb="FF000000"/>
        <rFont val="Arial"/>
        <family val="0"/>
        <charset val="1"/>
      </rPr>
      <t xml:space="preserve">5.8GW </t>
    </r>
    <r>
      <rPr>
        <sz val="10"/>
        <color rgb="FF000000"/>
        <rFont val="WenQuanYi Zen Hei"/>
        <family val="2"/>
      </rPr>
      <t xml:space="preserve">提供期權；管理層資本配置業內最佳。是低估房地產板塊中「質量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WenQuanYi Zen Hei"/>
        <family val="2"/>
      </rPr>
      <t xml:space="preserve">價格」最平衡的一檔。</t>
    </r>
  </si>
  <si>
    <r>
      <rPr>
        <sz val="10"/>
        <color rgb="FF000000"/>
        <rFont val="WenQuanYi Zen Hei"/>
        <family val="2"/>
      </rPr>
      <t xml:space="preserve">出租率 </t>
    </r>
    <r>
      <rPr>
        <sz val="10"/>
        <color rgb="FF000000"/>
        <rFont val="Arial"/>
        <family val="0"/>
        <charset val="1"/>
      </rPr>
      <t xml:space="preserve">&lt; 93%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Core FFO </t>
    </r>
    <r>
      <rPr>
        <sz val="10"/>
        <color rgb="FF000000"/>
        <rFont val="WenQuanYi Zen Hei"/>
        <family val="2"/>
      </rPr>
      <t xml:space="preserve">增速 </t>
    </r>
    <r>
      <rPr>
        <sz val="10"/>
        <color rgb="FF000000"/>
        <rFont val="Arial"/>
        <family val="0"/>
        <charset val="1"/>
      </rPr>
      <t xml:space="preserve">&lt; 3%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SEGRO </t>
    </r>
    <r>
      <rPr>
        <sz val="10"/>
        <color rgb="FF000000"/>
        <rFont val="WenQuanYi Zen Hei"/>
        <family val="2"/>
      </rPr>
      <t xml:space="preserve">收購溢價過高；</t>
    </r>
    <r>
      <rPr>
        <sz val="10"/>
        <color rgb="FF000000"/>
        <rFont val="Arial"/>
        <family val="0"/>
        <charset val="1"/>
      </rPr>
      <t xml:space="preserve">P/FFO &gt; 27x </t>
    </r>
    <r>
      <rPr>
        <sz val="10"/>
        <color rgb="FF000000"/>
        <rFont val="WenQuanYi Zen Hei"/>
        <family val="2"/>
      </rPr>
      <t xml:space="preserve">減持</t>
    </r>
  </si>
  <si>
    <r>
      <rPr>
        <b val="true"/>
        <sz val="10"/>
        <color rgb="FF000000"/>
        <rFont val="WenQuanYi Zen Hei"/>
        <family val="2"/>
      </rPr>
      <t xml:space="preserve">候補（第 </t>
    </r>
    <r>
      <rPr>
        <b val="true"/>
        <sz val="10"/>
        <color rgb="FF000000"/>
        <rFont val="Arial"/>
        <family val="0"/>
        <charset val="1"/>
      </rPr>
      <t xml:space="preserve">6 </t>
    </r>
    <r>
      <rPr>
        <b val="true"/>
        <sz val="10"/>
        <color rgb="FF000000"/>
        <rFont val="WenQuanYi Zen Hei"/>
        <family val="2"/>
      </rPr>
      <t xml:space="preserve">名）</t>
    </r>
  </si>
  <si>
    <r>
      <rPr>
        <sz val="10"/>
        <color rgb="FF000000"/>
        <rFont val="WenQuanYi Zen Hei"/>
        <family val="2"/>
      </rPr>
      <t xml:space="preserve">互聯護城河強、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推理需求受惠，但資本密集、</t>
    </r>
    <r>
      <rPr>
        <sz val="10"/>
        <color rgb="FF000000"/>
        <rFont val="Arial"/>
        <family val="0"/>
        <charset val="1"/>
      </rPr>
      <t xml:space="preserve">P/B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年高位；回調 </t>
    </r>
    <r>
      <rPr>
        <sz val="10"/>
        <color rgb="FF000000"/>
        <rFont val="Arial"/>
        <family val="0"/>
        <charset val="1"/>
      </rPr>
      <t xml:space="preserve">10–15% </t>
    </r>
    <r>
      <rPr>
        <sz val="10"/>
        <color rgb="FF000000"/>
        <rFont val="WenQuanYi Zen Hei"/>
        <family val="2"/>
      </rPr>
      <t xml:space="preserve">可替補 </t>
    </r>
    <r>
      <rPr>
        <sz val="10"/>
        <color rgb="FF000000"/>
        <rFont val="Arial"/>
        <family val="0"/>
        <charset val="1"/>
      </rPr>
      <t xml:space="preserve">JPM/PLD</t>
    </r>
    <r>
      <rPr>
        <sz val="10"/>
        <color rgb="FF000000"/>
        <rFont val="WenQuanYi Zen Hei"/>
        <family val="2"/>
      </rPr>
      <t xml:space="preserve">。</t>
    </r>
  </si>
  <si>
    <t xml:space="preserve">核心持有（首選）</t>
  </si>
  <si>
    <r>
      <rPr>
        <sz val="10"/>
        <color rgb="FF000000"/>
        <rFont val="WenQuanYi Zen Hei"/>
        <family val="2"/>
      </rPr>
      <t xml:space="preserve">質量與估值兼得的首選：工業氣體三寡頭、</t>
    </r>
    <r>
      <rPr>
        <sz val="10"/>
        <color rgb="FF000000"/>
        <rFont val="Arial"/>
        <family val="0"/>
        <charset val="1"/>
      </rPr>
      <t xml:space="preserve">15–20 </t>
    </r>
    <r>
      <rPr>
        <sz val="10"/>
        <color rgb="FF000000"/>
        <rFont val="WenQuanYi Zen Hei"/>
        <family val="2"/>
      </rPr>
      <t xml:space="preserve">年照付不議合約、通脹可轉嫁；</t>
    </r>
    <r>
      <rPr>
        <sz val="10"/>
        <color rgb="FF000000"/>
        <rFont val="Arial"/>
        <family val="0"/>
        <charset val="1"/>
      </rPr>
      <t xml:space="preserve">ROE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WenQuanYi Zen Hei"/>
        <family val="2"/>
      </rPr>
      <t xml:space="preserve">升至 </t>
    </r>
    <r>
      <rPr>
        <sz val="10"/>
        <color rgb="FF000000"/>
        <rFont val="Arial"/>
        <family val="0"/>
        <charset val="1"/>
      </rPr>
      <t xml:space="preserve">18%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P/E 30.8x </t>
    </r>
    <r>
      <rPr>
        <sz val="10"/>
        <color rgb="FF000000"/>
        <rFont val="WenQuanYi Zen Hei"/>
        <family val="2"/>
      </rPr>
      <t xml:space="preserve">處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年最低區域（比 </t>
    </r>
    <r>
      <rPr>
        <sz val="10"/>
        <color rgb="FF000000"/>
        <rFont val="Arial"/>
        <family val="0"/>
        <charset val="1"/>
      </rPr>
      <t xml:space="preserve">91% </t>
    </r>
    <r>
      <rPr>
        <sz val="10"/>
        <color rgb="FF000000"/>
        <rFont val="WenQuanYi Zen Hei"/>
        <family val="2"/>
      </rPr>
      <t xml:space="preserve">時間便宜）；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+8–9%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backlog $110 </t>
    </r>
    <r>
      <rPr>
        <sz val="10"/>
        <color rgb="FF000000"/>
        <rFont val="WenQuanYi Zen Hei"/>
        <family val="2"/>
      </rPr>
      <t xml:space="preserve">億（電子特氣受惠半導體擴產）。</t>
    </r>
  </si>
  <si>
    <r>
      <rPr>
        <sz val="10"/>
        <color rgb="FF000000"/>
        <rFont val="Arial"/>
        <family val="0"/>
        <charset val="1"/>
      </rPr>
      <t xml:space="preserve">Backlog &lt; $80 </t>
    </r>
    <r>
      <rPr>
        <sz val="10"/>
        <color rgb="FF000000"/>
        <rFont val="WenQuanYi Zen Hei"/>
        <family val="2"/>
      </rPr>
      <t xml:space="preserve">億；</t>
    </r>
    <r>
      <rPr>
        <sz val="10"/>
        <color rgb="FF000000"/>
        <rFont val="Arial"/>
        <family val="0"/>
        <charset val="1"/>
      </rPr>
      <t xml:space="preserve">EPS </t>
    </r>
    <r>
      <rPr>
        <sz val="10"/>
        <color rgb="FF000000"/>
        <rFont val="WenQuanYi Zen Hei"/>
        <family val="2"/>
      </rPr>
      <t xml:space="preserve">增速連續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&lt; 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ROE </t>
    </r>
    <r>
      <rPr>
        <sz val="10"/>
        <color rgb="FF000000"/>
        <rFont val="WenQuanYi Zen Hei"/>
        <family val="2"/>
      </rPr>
      <t xml:space="preserve">掉回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以下；</t>
    </r>
    <r>
      <rPr>
        <sz val="10"/>
        <color rgb="FF000000"/>
        <rFont val="Arial"/>
        <family val="0"/>
        <charset val="1"/>
      </rPr>
      <t xml:space="preserve">P/E &gt; 35x </t>
    </r>
    <r>
      <rPr>
        <sz val="10"/>
        <color rgb="FF000000"/>
        <rFont val="WenQuanYi Zen Hei"/>
        <family val="2"/>
      </rPr>
      <t xml:space="preserve">減持</t>
    </r>
  </si>
  <si>
    <t xml:space="preserve">不買（週期頂部）</t>
  </si>
  <si>
    <r>
      <rPr>
        <sz val="10"/>
        <color rgb="FF000000"/>
        <rFont val="WenQuanYi Zen Hei"/>
        <family val="2"/>
      </rPr>
      <t xml:space="preserve">盈利取決於金價 </t>
    </r>
    <r>
      <rPr>
        <sz val="10"/>
        <color rgb="FF000000"/>
        <rFont val="Arial"/>
        <family val="0"/>
        <charset val="1"/>
      </rPr>
      <t xml:space="preserve">~$4,500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P/E </t>
    </r>
    <r>
      <rPr>
        <sz val="10"/>
        <color rgb="FF000000"/>
        <rFont val="WenQuanYi Zen Hei"/>
        <family val="2"/>
      </rPr>
      <t xml:space="preserve">低是週期頂部特徵，不符合巴菲特準則。</t>
    </r>
  </si>
  <si>
    <t xml:space="preserve">不買</t>
  </si>
  <si>
    <r>
      <rPr>
        <sz val="10"/>
        <color rgb="FF000000"/>
        <rFont val="WenQuanYi Zen Hei"/>
        <family val="2"/>
      </rPr>
      <t xml:space="preserve">銅長期需求好，但銅價高位 </t>
    </r>
    <r>
      <rPr>
        <sz val="10"/>
        <color rgb="FF000000"/>
        <rFont val="Arial"/>
        <family val="0"/>
        <charset val="1"/>
      </rPr>
      <t xml:space="preserve">+ Grasberg </t>
    </r>
    <r>
      <rPr>
        <sz val="10"/>
        <color rgb="FF000000"/>
        <rFont val="WenQuanYi Zen Hei"/>
        <family val="2"/>
      </rPr>
      <t xml:space="preserve">恢復風險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無定價權。</t>
    </r>
  </si>
  <si>
    <t xml:space="preserve">組合合計</t>
  </si>
  <si>
    <r>
      <rPr>
        <b val="true"/>
        <sz val="10"/>
        <color rgb="FF000000"/>
        <rFont val="WenQuanYi Zen Hei"/>
        <family val="2"/>
      </rPr>
      <t xml:space="preserve">組合加權 </t>
    </r>
    <r>
      <rPr>
        <b val="true"/>
        <sz val="10"/>
        <color rgb="FF000000"/>
        <rFont val="Arial"/>
        <family val="0"/>
        <charset val="1"/>
      </rPr>
      <t xml:space="preserve">5Y </t>
    </r>
    <r>
      <rPr>
        <b val="true"/>
        <sz val="10"/>
        <color rgb="FF000000"/>
        <rFont val="WenQuanYi Zen Hei"/>
        <family val="2"/>
      </rPr>
      <t xml:space="preserve">預期年化</t>
    </r>
  </si>
  <si>
    <t xml:space="preserve">組合加權股息率</t>
  </si>
  <si>
    <t xml:space="preserve">組合加權綜合分</t>
  </si>
  <si>
    <r>
      <rPr>
        <i val="true"/>
        <sz val="8"/>
        <color rgb="FF595959"/>
        <rFont val="WenQuanYi Zen Hei"/>
        <family val="2"/>
      </rPr>
      <t xml:space="preserve">對照：</t>
    </r>
    <r>
      <rPr>
        <i val="true"/>
        <sz val="8"/>
        <color rgb="FF595959"/>
        <rFont val="Arial"/>
        <family val="0"/>
        <charset val="1"/>
      </rPr>
      <t xml:space="preserve">S&amp;P 500 </t>
    </r>
    <r>
      <rPr>
        <i val="true"/>
        <sz val="8"/>
        <color rgb="FF595959"/>
        <rFont val="WenQuanYi Zen Hei"/>
        <family val="2"/>
      </rPr>
      <t xml:space="preserve">隱含回報（盈利收益率</t>
    </r>
    <r>
      <rPr>
        <i val="true"/>
        <sz val="8"/>
        <color rgb="FF595959"/>
        <rFont val="Arial"/>
        <family val="0"/>
        <charset val="1"/>
      </rPr>
      <t xml:space="preserve">+CY27</t>
    </r>
    <r>
      <rPr>
        <i val="true"/>
        <sz val="8"/>
        <color rgb="FF595959"/>
        <rFont val="WenQuanYi Zen Hei"/>
        <family val="2"/>
      </rPr>
      <t xml:space="preserve">增速近似）</t>
    </r>
  </si>
  <si>
    <t xml:space="preserve">數據來源、假設與免責聲明</t>
  </si>
  <si>
    <t xml:space="preserve">所有硬編碼數字的出處。</t>
  </si>
  <si>
    <t xml:space="preserve">數據</t>
  </si>
  <si>
    <r>
      <rPr>
        <sz val="10"/>
        <color rgb="FF000000"/>
        <rFont val="WenQuanYi Zen Hei"/>
        <family val="2"/>
      </rPr>
      <t xml:space="preserve">板塊 </t>
    </r>
    <r>
      <rPr>
        <sz val="10"/>
        <color rgb="FF000000"/>
        <rFont val="Arial"/>
        <family val="0"/>
        <charset val="1"/>
      </rPr>
      <t xml:space="preserve">Fwd P/E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5Y/10Y </t>
    </r>
    <r>
      <rPr>
        <sz val="10"/>
        <color rgb="FF000000"/>
        <rFont val="WenQuanYi Zen Hei"/>
        <family val="2"/>
      </rPr>
      <t xml:space="preserve">均值、</t>
    </r>
    <r>
      <rPr>
        <sz val="10"/>
        <color rgb="FF000000"/>
        <rFont val="Arial"/>
        <family val="0"/>
        <charset val="1"/>
      </rPr>
      <t xml:space="preserve">CY26/27 </t>
    </r>
    <r>
      <rPr>
        <sz val="10"/>
        <color rgb="FF000000"/>
        <rFont val="WenQuanYi Zen Hei"/>
        <family val="2"/>
      </rPr>
      <t xml:space="preserve">盈利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營收增速、目標價、評級分佈</t>
    </r>
  </si>
  <si>
    <t xml:space="preserve">FactSet Earnings Insight, 2026-10-09 (pp.17, 29, 30, 34, 37) https://advantage.factset.com/hubfs/Website/Resources%20Section/Research%20Desk/Earnings%20Insight/EarningsInsight_100926.pdf</t>
  </si>
  <si>
    <r>
      <rPr>
        <sz val="10"/>
        <color rgb="FF000000"/>
        <rFont val="WenQuanYi Zen Hei"/>
        <family val="2"/>
      </rPr>
      <t xml:space="preserve">股價、市值、</t>
    </r>
    <r>
      <rPr>
        <sz val="10"/>
        <color rgb="FF000000"/>
        <rFont val="Arial"/>
        <family val="0"/>
        <charset val="1"/>
      </rPr>
      <t xml:space="preserve">P/E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P/B</t>
    </r>
    <r>
      <rPr>
        <sz val="10"/>
        <color rgb="FF000000"/>
        <rFont val="WenQuanYi Zen Hei"/>
        <family val="2"/>
      </rPr>
      <t xml:space="preserve">、股息率、</t>
    </r>
    <r>
      <rPr>
        <sz val="10"/>
        <color rgb="FF000000"/>
        <rFont val="Arial"/>
        <family val="0"/>
        <charset val="1"/>
      </rPr>
      <t xml:space="preserve">YTD</t>
    </r>
  </si>
  <si>
    <r>
      <rPr>
        <i val="true"/>
        <sz val="8"/>
        <color rgb="FF595959"/>
        <rFont val="Arial"/>
        <family val="0"/>
        <charset val="1"/>
      </rPr>
      <t xml:space="preserve">LongBridge OpenAPI calc_indexes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2026-10-09 </t>
    </r>
    <r>
      <rPr>
        <i val="true"/>
        <sz val="8"/>
        <color rgb="FF595959"/>
        <rFont val="WenQuanYi Zen Hei"/>
        <family val="2"/>
      </rPr>
      <t xml:space="preserve">收盤）</t>
    </r>
  </si>
  <si>
    <t xml:space="preserve">估值歷史區間與分位、行業中位數</t>
  </si>
  <si>
    <t xml:space="preserve">LongBridge OpenAPI valuation_history / industry_valuation_dist</t>
  </si>
  <si>
    <r>
      <rPr>
        <sz val="10"/>
        <color rgb="FF000000"/>
        <rFont val="Arial"/>
        <family val="0"/>
        <charset val="1"/>
      </rPr>
      <t xml:space="preserve">FY2020–FY2025 </t>
    </r>
    <r>
      <rPr>
        <sz val="10"/>
        <color rgb="FF000000"/>
        <rFont val="WenQuanYi Zen Hei"/>
        <family val="2"/>
      </rPr>
      <t xml:space="preserve">財務數據</t>
    </r>
  </si>
  <si>
    <r>
      <rPr>
        <i val="true"/>
        <sz val="8"/>
        <color rgb="FF595959"/>
        <rFont val="Arial"/>
        <family val="0"/>
        <charset val="1"/>
      </rPr>
      <t xml:space="preserve">LongBridge OpenAPI financial_report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annual</t>
    </r>
    <r>
      <rPr>
        <i val="true"/>
        <sz val="8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</si>
  <si>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一致預期 </t>
    </r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WenQuanYi Zen Hei"/>
        <family val="2"/>
      </rPr>
      <t xml:space="preserve">、分析師目標價與評級</t>
    </r>
  </si>
  <si>
    <t xml:space="preserve">LongBridge OpenAPI forecast_eps / institution_rating</t>
  </si>
  <si>
    <r>
      <rPr>
        <sz val="10"/>
        <color rgb="FF000000"/>
        <rFont val="Arial"/>
        <family val="0"/>
        <charset val="1"/>
      </rPr>
      <t xml:space="preserve">CPI</t>
    </r>
    <r>
      <rPr>
        <sz val="10"/>
        <color rgb="FF000000"/>
        <rFont val="WenQuanYi Zen Hei"/>
        <family val="2"/>
      </rPr>
      <t xml:space="preserve">、失業率</t>
    </r>
  </si>
  <si>
    <r>
      <rPr>
        <i val="true"/>
        <sz val="8"/>
        <color rgb="FF595959"/>
        <rFont val="Arial"/>
        <family val="0"/>
        <charset val="1"/>
      </rPr>
      <t xml:space="preserve">LongBridge OpenAPI macrodata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30771871, 30771865</t>
    </r>
    <r>
      <rPr>
        <i val="true"/>
        <sz val="8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</si>
  <si>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Fed 2026-09-16 </t>
    </r>
    <r>
      <rPr>
        <sz val="10"/>
        <color rgb="FF000000"/>
        <rFont val="WenQuanYi Zen Hei"/>
        <family val="2"/>
      </rPr>
      <t xml:space="preserve">加息至 </t>
    </r>
    <r>
      <rPr>
        <sz val="10"/>
        <color rgb="FF000000"/>
        <rFont val="Arial"/>
        <family val="0"/>
        <charset val="1"/>
      </rPr>
      <t xml:space="preserve">3.75–4.00%</t>
    </r>
  </si>
  <si>
    <t xml:space="preserve">https://www.cnbc.com/2026/09/16/fed-rate-decision-september-2026.html</t>
  </si>
  <si>
    <r>
      <rPr>
        <sz val="10"/>
        <color rgb="FF000000"/>
        <rFont val="Arial"/>
        <family val="0"/>
        <charset val="1"/>
      </rPr>
      <t xml:space="preserve">10Y </t>
    </r>
    <r>
      <rPr>
        <sz val="10"/>
        <color rgb="FF000000"/>
        <rFont val="WenQuanYi Zen Hei"/>
        <family val="2"/>
      </rPr>
      <t xml:space="preserve">殖利率 </t>
    </r>
    <r>
      <rPr>
        <sz val="10"/>
        <color rgb="FF000000"/>
        <rFont val="Arial"/>
        <family val="0"/>
        <charset val="1"/>
      </rPr>
      <t xml:space="preserve">4.66%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7/24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4.79%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9/2</t>
    </r>
    <r>
      <rPr>
        <sz val="10"/>
        <color rgb="FF000000"/>
        <rFont val="WenQuanYi Zen Hei"/>
        <family val="2"/>
      </rPr>
      <t xml:space="preserve">）</t>
    </r>
  </si>
  <si>
    <r>
      <rPr>
        <i val="true"/>
        <sz val="8"/>
        <color rgb="FF595959"/>
        <rFont val="Arial"/>
        <family val="0"/>
        <charset val="1"/>
      </rPr>
      <t xml:space="preserve">https://ycharts.com/indicators/10_year_treasury_rate_weekly</t>
    </r>
    <r>
      <rPr>
        <i val="true"/>
        <sz val="8"/>
        <color rgb="FF595959"/>
        <rFont val="WenQuanYi Zen Hei"/>
        <family val="2"/>
      </rPr>
      <t xml:space="preserve">（</t>
    </r>
    <r>
      <rPr>
        <i val="true"/>
        <sz val="8"/>
        <color rgb="FF595959"/>
        <rFont val="Arial"/>
        <family val="0"/>
        <charset val="1"/>
      </rPr>
      <t xml:space="preserve">10 </t>
    </r>
    <r>
      <rPr>
        <i val="true"/>
        <sz val="8"/>
        <color rgb="FF595959"/>
        <rFont val="WenQuanYi Zen Hei"/>
        <family val="2"/>
      </rPr>
      <t xml:space="preserve">月實際值未取得，假設 </t>
    </r>
    <r>
      <rPr>
        <i val="true"/>
        <sz val="8"/>
        <color rgb="FF595959"/>
        <rFont val="Arial"/>
        <family val="0"/>
        <charset val="1"/>
      </rPr>
      <t xml:space="preserve">4.6%</t>
    </r>
    <r>
      <rPr>
        <i val="true"/>
        <sz val="8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</si>
  <si>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通脹由能源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伊朗衝突驅動、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CPI 4.2%</t>
    </r>
  </si>
  <si>
    <r>
      <rPr>
        <i val="true"/>
        <sz val="8"/>
        <color rgb="FF595959"/>
        <rFont val="Arial"/>
        <family val="0"/>
        <charset val="1"/>
      </rPr>
      <t xml:space="preserve">https://cryptobriefing.com/us-inflation-rises-oil-prices-falling/ 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https://www.idnfinancials.com/news/63751/iran-war-pushes-us-inflation-to-3-8-trump-under-pressure</t>
    </r>
  </si>
  <si>
    <r>
      <rPr>
        <sz val="10"/>
        <color rgb="FF000000"/>
        <rFont val="Arial"/>
        <family val="0"/>
        <charset val="1"/>
      </rPr>
      <t xml:space="preserve">BRK Q2 2026 </t>
    </r>
    <r>
      <rPr>
        <sz val="10"/>
        <color rgb="FF000000"/>
        <rFont val="WenQuanYi Zen Hei"/>
        <family val="2"/>
      </rPr>
      <t xml:space="preserve">營運盈利、回購、現金、</t>
    </r>
    <r>
      <rPr>
        <sz val="10"/>
        <color rgb="FF000000"/>
        <rFont val="Arial"/>
        <family val="0"/>
        <charset val="1"/>
      </rPr>
      <t xml:space="preserve">Alphabet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Taylor Morrison</t>
    </r>
  </si>
  <si>
    <r>
      <rPr>
        <i val="true"/>
        <sz val="8"/>
        <color rgb="FF595959"/>
        <rFont val="Arial"/>
        <family val="0"/>
        <charset val="1"/>
      </rPr>
      <t xml:space="preserve">https://www.cnbc.com/2026/08/08/berkshire-hathaway-earnings-q2-2026.html 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SEC 10-Q</t>
    </r>
  </si>
  <si>
    <r>
      <rPr>
        <sz val="10"/>
        <color rgb="FF000000"/>
        <rFont val="Arial"/>
        <family val="0"/>
        <charset val="1"/>
      </rPr>
      <t xml:space="preserve">JPM 2026 NII </t>
    </r>
    <r>
      <rPr>
        <sz val="10"/>
        <color rgb="FF000000"/>
        <rFont val="WenQuanYi Zen Hei"/>
        <family val="2"/>
      </rPr>
      <t xml:space="preserve">指引、</t>
    </r>
    <r>
      <rPr>
        <sz val="10"/>
        <color rgb="FF000000"/>
        <rFont val="Arial"/>
        <family val="0"/>
        <charset val="1"/>
      </rPr>
      <t xml:space="preserve">Dimon </t>
    </r>
    <r>
      <rPr>
        <sz val="10"/>
        <color rgb="FF000000"/>
        <rFont val="WenQuanYi Zen Hei"/>
        <family val="2"/>
      </rPr>
      <t xml:space="preserve">接班</t>
    </r>
  </si>
  <si>
    <r>
      <rPr>
        <i val="true"/>
        <sz val="8"/>
        <color rgb="FF595959"/>
        <rFont val="Arial"/>
        <family val="0"/>
        <charset val="1"/>
      </rPr>
      <t xml:space="preserve">https://www.marketbeat.com/instant-alerts/jpmorgan-chase-co-q2-earnings-call-highlights-2026-07-14/ 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https://www.americanbanker.com/news/dimon-says-jpmorgan-ceo-transition-remains-years-away</t>
    </r>
  </si>
  <si>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WenQuanYi Zen Hei"/>
        <family val="2"/>
      </rPr>
      <t xml:space="preserve">穩定幣、</t>
    </r>
    <r>
      <rPr>
        <sz val="10"/>
        <color rgb="FF000000"/>
        <rFont val="Arial"/>
        <family val="0"/>
        <charset val="1"/>
      </rPr>
      <t xml:space="preserve">CCCA</t>
    </r>
    <r>
      <rPr>
        <sz val="10"/>
        <color rgb="FF000000"/>
        <rFont val="WenQuanYi Zen Hei"/>
        <family val="2"/>
      </rPr>
      <t xml:space="preserve">、交換費訴訟</t>
    </r>
  </si>
  <si>
    <r>
      <rPr>
        <i val="true"/>
        <sz val="8"/>
        <color rgb="FF595959"/>
        <rFont val="Arial"/>
        <family val="0"/>
        <charset val="1"/>
      </rPr>
      <t xml:space="preserve">https://www.nasdaq.com/articles/time-buy-visa-its-stablecoin-strategy-redefines-payments 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https://247wallst.com/investing/2026/07/13/visas-700-billion-payments-empire-faces-new-disruption-risks/</t>
    </r>
  </si>
  <si>
    <r>
      <rPr>
        <sz val="10"/>
        <color rgb="FF000000"/>
        <rFont val="Arial"/>
        <family val="0"/>
        <charset val="1"/>
      </rPr>
      <t xml:space="preserve">NEE </t>
    </r>
    <r>
      <rPr>
        <sz val="10"/>
        <color rgb="FF000000"/>
        <rFont val="WenQuanYi Zen Hei"/>
        <family val="2"/>
      </rPr>
      <t xml:space="preserve">收購 </t>
    </r>
    <r>
      <rPr>
        <sz val="10"/>
        <color rgb="FF000000"/>
        <rFont val="Arial"/>
        <family val="0"/>
        <charset val="1"/>
      </rPr>
      <t xml:space="preserve">Dominion</t>
    </r>
    <r>
      <rPr>
        <sz val="10"/>
        <color rgb="FF000000"/>
        <rFont val="WenQuanYi Zen Hei"/>
        <family val="2"/>
      </rPr>
      <t xml:space="preserve">、股價下跌原因</t>
    </r>
  </si>
  <si>
    <r>
      <rPr>
        <i val="true"/>
        <sz val="8"/>
        <color rgb="FF595959"/>
        <rFont val="Arial"/>
        <family val="0"/>
        <charset val="1"/>
      </rPr>
      <t xml:space="preserve">https://www.fool.com/investing/2026/05/18/why-nextera-energy-stock-fell-54-today/ 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https://www.gurufocus.com/news/8910473/</t>
    </r>
  </si>
  <si>
    <r>
      <rPr>
        <sz val="10"/>
        <color rgb="FF000000"/>
        <rFont val="Arial"/>
        <family val="0"/>
        <charset val="1"/>
      </rPr>
      <t xml:space="preserve">CEG 2026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$11–12</t>
    </r>
  </si>
  <si>
    <t xml:space="preserve">https://www.tikr.com/blog/constellation-energy-stock-is-down-13-in-2026-what-the-q1-2026-earnings-must-show</t>
  </si>
  <si>
    <r>
      <rPr>
        <sz val="10"/>
        <color rgb="FF000000"/>
        <rFont val="Arial"/>
        <family val="0"/>
        <charset val="1"/>
      </rPr>
      <t xml:space="preserve">SO </t>
    </r>
    <r>
      <rPr>
        <sz val="10"/>
        <color rgb="FF000000"/>
        <rFont val="WenQuanYi Zen Hei"/>
        <family val="2"/>
      </rPr>
      <t xml:space="preserve">指引、</t>
    </r>
    <r>
      <rPr>
        <sz val="10"/>
        <color rgb="FF000000"/>
        <rFont val="Arial"/>
        <family val="0"/>
        <charset val="1"/>
      </rPr>
      <t xml:space="preserve">17GW </t>
    </r>
    <r>
      <rPr>
        <sz val="10"/>
        <color rgb="FF000000"/>
        <rFont val="WenQuanYi Zen Hei"/>
        <family val="2"/>
      </rPr>
      <t xml:space="preserve">大負荷、</t>
    </r>
    <r>
      <rPr>
        <sz val="10"/>
        <color rgb="FF000000"/>
        <rFont val="Arial"/>
        <family val="0"/>
        <charset val="1"/>
      </rPr>
      <t xml:space="preserve">$810 </t>
    </r>
    <r>
      <rPr>
        <sz val="10"/>
        <color rgb="FF000000"/>
        <rFont val="WenQuanYi Zen Hei"/>
        <family val="2"/>
      </rPr>
      <t xml:space="preserve">億資本計劃</t>
    </r>
  </si>
  <si>
    <r>
      <rPr>
        <i val="true"/>
        <sz val="8"/>
        <color rgb="FF595959"/>
        <rFont val="Arial"/>
        <family val="0"/>
        <charset val="1"/>
      </rPr>
      <t xml:space="preserve">https://www.nasdaq.com/articles/southern-q2-earnings-call-highlights 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https://quartr.com/events/the-southern-company-so-q2-2026_3YDwxjVN</t>
    </r>
  </si>
  <si>
    <r>
      <rPr>
        <sz val="10"/>
        <color rgb="FF000000"/>
        <rFont val="Arial"/>
        <family val="0"/>
        <charset val="1"/>
      </rPr>
      <t xml:space="preserve">WELL FFO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$6.36–6.44</t>
    </r>
    <r>
      <rPr>
        <sz val="10"/>
        <color rgb="FF000000"/>
        <rFont val="WenQuanYi Zen Hei"/>
        <family val="2"/>
      </rPr>
      <t xml:space="preserve">、股息 </t>
    </r>
    <r>
      <rPr>
        <sz val="10"/>
        <color rgb="FF000000"/>
        <rFont val="Arial"/>
        <family val="0"/>
        <charset val="1"/>
      </rPr>
      <t xml:space="preserve">+15%</t>
    </r>
  </si>
  <si>
    <t xml:space="preserve">SEC 8-K https://www.sec.gov/Archives/edgar/data/0000766704/000076670426000026/a2q26earningsrelease991.htm</t>
  </si>
  <si>
    <r>
      <rPr>
        <sz val="10"/>
        <color rgb="FF000000"/>
        <rFont val="Arial"/>
        <family val="0"/>
        <charset val="1"/>
      </rPr>
      <t xml:space="preserve">PLD Core FFO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$6.22–6.30</t>
    </r>
  </si>
  <si>
    <t xml:space="preserve">https://ir.prologis.com/news-events/press-releases/detail/1044/prologis-reports-second-quarter-2026-results</t>
  </si>
  <si>
    <r>
      <rPr>
        <sz val="10"/>
        <color rgb="FF000000"/>
        <rFont val="Arial"/>
        <family val="0"/>
        <charset val="1"/>
      </rPr>
      <t xml:space="preserve">EQIX AFFO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$42.69–43.29</t>
    </r>
  </si>
  <si>
    <t xml:space="preserve">https://investor.equinix.com/news-events/press-releases/detail/1114/equinix-reports-second-quarter-results-raises-2026</t>
  </si>
  <si>
    <r>
      <rPr>
        <sz val="10"/>
        <color rgb="FF000000"/>
        <rFont val="Arial"/>
        <family val="0"/>
        <charset val="1"/>
      </rPr>
      <t xml:space="preserve">LIN 2026 EPS </t>
    </r>
    <r>
      <rPr>
        <sz val="10"/>
        <color rgb="FF000000"/>
        <rFont val="WenQuanYi Zen Hei"/>
        <family val="2"/>
      </rPr>
      <t xml:space="preserve">指引 </t>
    </r>
    <r>
      <rPr>
        <sz val="10"/>
        <color rgb="FF000000"/>
        <rFont val="Arial"/>
        <family val="0"/>
        <charset val="1"/>
      </rPr>
      <t xml:space="preserve">$17.70–17.90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backlog $110 </t>
    </r>
    <r>
      <rPr>
        <sz val="10"/>
        <color rgb="FF000000"/>
        <rFont val="WenQuanYi Zen Hei"/>
        <family val="2"/>
      </rPr>
      <t xml:space="preserve">億</t>
    </r>
  </si>
  <si>
    <t xml:space="preserve">SEC 8-K https://www.sec.gov/Archives/edgar/data/0001707925/000165495426007052/lin_ex991.htm</t>
  </si>
  <si>
    <r>
      <rPr>
        <sz val="10"/>
        <color rgb="FF000000"/>
        <rFont val="Arial"/>
        <family val="0"/>
        <charset val="1"/>
      </rPr>
      <t xml:space="preserve">NEM Q2 2026 FCF $22 </t>
    </r>
    <r>
      <rPr>
        <sz val="10"/>
        <color rgb="FF000000"/>
        <rFont val="WenQuanYi Zen Hei"/>
        <family val="2"/>
      </rPr>
      <t xml:space="preserve">億、</t>
    </r>
    <r>
      <rPr>
        <sz val="10"/>
        <color rgb="FF000000"/>
        <rFont val="Arial"/>
        <family val="0"/>
        <charset val="1"/>
      </rPr>
      <t xml:space="preserve">AISC</t>
    </r>
    <r>
      <rPr>
        <sz val="10"/>
        <color rgb="FF000000"/>
        <rFont val="WenQuanYi Zen Hei"/>
        <family val="2"/>
      </rPr>
      <t xml:space="preserve">、回購、淨現金</t>
    </r>
  </si>
  <si>
    <t xml:space="preserve">SEC 8-K https://www.sec.gov/Archives/edgar/data/0001164727/000116472726000034/newmontq22026earningsrelea.htm</t>
  </si>
  <si>
    <r>
      <rPr>
        <sz val="10"/>
        <color rgb="FF000000"/>
        <rFont val="Arial"/>
        <family val="0"/>
        <charset val="1"/>
      </rPr>
      <t xml:space="preserve">FCX Q3 2026 </t>
    </r>
    <r>
      <rPr>
        <sz val="10"/>
        <color rgb="FF000000"/>
        <rFont val="WenQuanYi Zen Hei"/>
        <family val="2"/>
      </rPr>
      <t xml:space="preserve">營運更新、</t>
    </r>
    <r>
      <rPr>
        <sz val="10"/>
        <color rgb="FF000000"/>
        <rFont val="Arial"/>
        <family val="0"/>
        <charset val="1"/>
      </rPr>
      <t xml:space="preserve">Grasberg </t>
    </r>
    <r>
      <rPr>
        <sz val="10"/>
        <color rgb="FF000000"/>
        <rFont val="WenQuanYi Zen Hei"/>
        <family val="2"/>
      </rPr>
      <t xml:space="preserve">恢復時間表</t>
    </r>
  </si>
  <si>
    <t xml:space="preserve">SEC 8-K https://www.sec.gov/Archives/edgar/data/0000831259/000083125926000043/fcx_261002.htm</t>
  </si>
  <si>
    <t xml:space="preserve">關鍵假設</t>
  </si>
  <si>
    <r>
      <rPr>
        <i val="true"/>
        <sz val="8"/>
        <color rgb="FF595959"/>
        <rFont val="Arial"/>
        <family val="0"/>
        <charset val="1"/>
      </rPr>
      <t xml:space="preserve">rf=10Y 4.6%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ERP 4.5%</t>
    </r>
    <r>
      <rPr>
        <i val="true"/>
        <sz val="8"/>
        <color rgb="FF595959"/>
        <rFont val="WenQuanYi Zen Hei"/>
        <family val="2"/>
      </rPr>
      <t xml:space="preserve">；</t>
    </r>
    <r>
      <rPr>
        <i val="true"/>
        <sz val="8"/>
        <color rgb="FF595959"/>
        <rFont val="Arial"/>
        <family val="0"/>
        <charset val="1"/>
      </rPr>
      <t xml:space="preserve">Beta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g1</t>
    </r>
    <r>
      <rPr>
        <i val="true"/>
        <sz val="8"/>
        <color rgb="FF595959"/>
        <rFont val="WenQuanYi Zen Hei"/>
        <family val="2"/>
      </rPr>
      <t xml:space="preserve">、</t>
    </r>
    <r>
      <rPr>
        <i val="true"/>
        <sz val="8"/>
        <color rgb="FF595959"/>
        <rFont val="Arial"/>
        <family val="0"/>
        <charset val="1"/>
      </rPr>
      <t xml:space="preserve">gT</t>
    </r>
    <r>
      <rPr>
        <i val="true"/>
        <sz val="8"/>
        <color rgb="FF595959"/>
        <rFont val="WenQuanYi Zen Hei"/>
        <family val="2"/>
      </rPr>
      <t xml:space="preserve">、轉換率、目標</t>
    </r>
    <r>
      <rPr>
        <i val="true"/>
        <sz val="8"/>
        <color rgb="FF595959"/>
        <rFont val="Arial"/>
        <family val="0"/>
        <charset val="1"/>
      </rPr>
      <t xml:space="preserve">/</t>
    </r>
    <r>
      <rPr>
        <i val="true"/>
        <sz val="8"/>
        <color rgb="FF595959"/>
        <rFont val="WenQuanYi Zen Hei"/>
        <family val="2"/>
      </rPr>
      <t xml:space="preserve">退出倍數均為分析師估計（見 </t>
    </r>
    <r>
      <rPr>
        <i val="true"/>
        <sz val="8"/>
        <color rgb="FF595959"/>
        <rFont val="Arial"/>
        <family val="0"/>
        <charset val="1"/>
      </rPr>
      <t xml:space="preserve">Valuation/Picks </t>
    </r>
    <r>
      <rPr>
        <i val="true"/>
        <sz val="8"/>
        <color rgb="FF595959"/>
        <rFont val="WenQuanYi Zen Hei"/>
        <family val="2"/>
      </rPr>
      <t xml:space="preserve">黃底格）；</t>
    </r>
    <r>
      <rPr>
        <i val="true"/>
        <sz val="8"/>
        <color rgb="FF595959"/>
        <rFont val="Arial"/>
        <family val="0"/>
        <charset val="1"/>
      </rPr>
      <t xml:space="preserve">REIT </t>
    </r>
    <r>
      <rPr>
        <i val="true"/>
        <sz val="8"/>
        <color rgb="FF595959"/>
        <rFont val="WenQuanYi Zen Hei"/>
        <family val="2"/>
      </rPr>
      <t xml:space="preserve">目標 </t>
    </r>
    <r>
      <rPr>
        <i val="true"/>
        <sz val="8"/>
        <color rgb="FF595959"/>
        <rFont val="Arial"/>
        <family val="0"/>
        <charset val="1"/>
      </rPr>
      <t xml:space="preserve">P/FFO </t>
    </r>
    <r>
      <rPr>
        <i val="true"/>
        <sz val="8"/>
        <color rgb="FF595959"/>
        <rFont val="WenQuanYi Zen Hei"/>
        <family val="2"/>
      </rPr>
      <t xml:space="preserve">為估計值。</t>
    </r>
  </si>
  <si>
    <t xml:space="preserve">免責聲明</t>
  </si>
  <si>
    <t xml:space="preserve">本工作簿僅供研究與教育用途，不構成投資建議。部分數據來自二手媒體，可能存在誤差；投資決策前請核對公司原始披露。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</si>
</sst>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;\(0.0%\);\-"/>
    <numFmt numFmtId="166" formatCode="\$#,##0.00;&quot;($&quot;#,##0.00\);\-"/>
    <numFmt numFmtId="167" formatCode="0.0\x;\(0.0&quot;x)&quot;;\-"/>
    <numFmt numFmtId="168" formatCode="#,##0.00;\(#,##0.00\);\-"/>
    <numFmt numFmtId="169" formatCode="#,##0.00"/>
    <numFmt numFmtId="170" formatCode="#,##0"/>
    <numFmt numFmtId="171" formatCode="0.0"/>
    <numFmt numFmtId="172" formatCode="\+0;\-0;0"/>
    <numFmt numFmtId="173" formatCode="\+0.0;\-0.0;0.0"/>
    <numFmt numFmtId="174" formatCode="0"/>
    <numFmt numFmtId="175" formatCode="#,##0.0;\(#,##0.0\);\-"/>
    <numFmt numFmtId="176" formatCode="0.00"/>
    <numFmt numFmtId="177" formatCode="\$#,##0;&quot;($&quot;#,##0\);\-"/>
    <numFmt numFmtId="178" formatCode="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WenQuanYi Zen Hei"/>
      <family val="2"/>
    </font>
    <font>
      <b val="true"/>
      <sz val="24"/>
      <color rgb="FFFFFFFF"/>
      <name val="Arial"/>
      <family val="0"/>
      <charset val="1"/>
    </font>
    <font>
      <sz val="14"/>
      <color rgb="FFBDD7EE"/>
      <name val="Arial"/>
      <family val="0"/>
      <charset val="1"/>
    </font>
    <font>
      <sz val="11"/>
      <color rgb="FFFFFFFF"/>
      <name val="WenQuanYi Zen Hei"/>
      <family val="2"/>
    </font>
    <font>
      <sz val="11"/>
      <color rgb="FFFFFFFF"/>
      <name val="Arial"/>
      <family val="0"/>
      <charset val="1"/>
    </font>
    <font>
      <b val="true"/>
      <sz val="13"/>
      <color rgb="FFFFD966"/>
      <name val="WenQuanYi Zen Hei"/>
      <family val="2"/>
    </font>
    <font>
      <b val="true"/>
      <sz val="13"/>
      <color rgb="FFFFD966"/>
      <name val="Arial"/>
      <family val="0"/>
      <charset val="1"/>
    </font>
    <font>
      <sz val="10"/>
      <color rgb="FFFFD966"/>
      <name val="WenQuanYi Zen Hei"/>
      <family val="2"/>
    </font>
    <font>
      <sz val="10"/>
      <color rgb="FFFFD966"/>
      <name val="Arial"/>
      <family val="0"/>
      <charset val="1"/>
    </font>
    <font>
      <i val="true"/>
      <sz val="9"/>
      <color rgb="FFBFBFBF"/>
      <name val="WenQuanYi Zen Hei"/>
      <family val="2"/>
    </font>
    <font>
      <b val="true"/>
      <sz val="16"/>
      <color rgb="FF1F3864"/>
      <name val="WenQuanYi Zen Hei"/>
      <family val="2"/>
    </font>
    <font>
      <b val="true"/>
      <sz val="16"/>
      <color rgb="FF1F3864"/>
      <name val="Arial"/>
      <family val="0"/>
      <charset val="1"/>
    </font>
    <font>
      <i val="true"/>
      <sz val="8"/>
      <color rgb="FF595959"/>
      <name val="WenQuanYi Zen Hei"/>
      <family val="2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000000"/>
      <name val="Arial"/>
      <family val="0"/>
      <charset val="1"/>
    </font>
    <font>
      <sz val="10"/>
      <color rgb="FF008000"/>
      <name val="WenQuanYi Zen Hei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00FF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D966"/>
      <rgbColor rgb="FFD9D9D9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板塊 Fwd P/E vs 10Y 均值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Sector_Map!C4</c:f>
              <c:strCache>
                <c:ptCount val="1"/>
                <c:pt idx="0">
                  <c:v>Fwd P/E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Sector_Map!$B$5:$B$16</c:f>
              <c:strCache>
                <c:ptCount val="12"/>
                <c:pt idx="0">
                  <c:v>XLY</c:v>
                </c:pt>
                <c:pt idx="1">
                  <c:v>XLI</c:v>
                </c:pt>
                <c:pt idx="2">
                  <c:v>XLP</c:v>
                </c:pt>
                <c:pt idx="3">
                  <c:v>XLK</c:v>
                </c:pt>
                <c:pt idx="4">
                  <c:v>SPY</c:v>
                </c:pt>
                <c:pt idx="5">
                  <c:v>XLC</c:v>
                </c:pt>
                <c:pt idx="6">
                  <c:v>XLV</c:v>
                </c:pt>
                <c:pt idx="7">
                  <c:v>XLRE</c:v>
                </c:pt>
                <c:pt idx="8">
                  <c:v>XLB</c:v>
                </c:pt>
                <c:pt idx="9">
                  <c:v>XLU</c:v>
                </c:pt>
                <c:pt idx="10">
                  <c:v>XLF</c:v>
                </c:pt>
                <c:pt idx="11">
                  <c:v>XLE</c:v>
                </c:pt>
              </c:strCache>
            </c:strRef>
          </c:cat>
          <c:val>
            <c:numRef>
              <c:f>Sector_Map!$C$5:$C$16</c:f>
              <c:numCache>
                <c:formatCode>0.0\x;\(0.0"x)";\-</c:formatCode>
                <c:ptCount val="12"/>
                <c:pt idx="0">
                  <c:v>23.2</c:v>
                </c:pt>
                <c:pt idx="1">
                  <c:v>22.8</c:v>
                </c:pt>
                <c:pt idx="2">
                  <c:v>21.6</c:v>
                </c:pt>
                <c:pt idx="3">
                  <c:v>21.3</c:v>
                </c:pt>
                <c:pt idx="4">
                  <c:v>19.1</c:v>
                </c:pt>
                <c:pt idx="5">
                  <c:v>18.6</c:v>
                </c:pt>
                <c:pt idx="6">
                  <c:v>18.3</c:v>
                </c:pt>
                <c:pt idx="7">
                  <c:v>16.7</c:v>
                </c:pt>
                <c:pt idx="8">
                  <c:v>16.6</c:v>
                </c:pt>
                <c:pt idx="9">
                  <c:v>16.1</c:v>
                </c:pt>
                <c:pt idx="10">
                  <c:v>14.3</c:v>
                </c:pt>
                <c:pt idx="11">
                  <c:v>13.5</c:v>
                </c:pt>
              </c:numCache>
            </c:numRef>
          </c:val>
        </c:ser>
        <c:ser>
          <c:idx val="1"/>
          <c:order val="1"/>
          <c:tx>
            <c:strRef>
              <c:f>Sector_Map!E4</c:f>
              <c:strCache>
                <c:ptCount val="1"/>
                <c:pt idx="0">
                  <c:v>10Y 均值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Sector_Map!$B$5:$B$16</c:f>
              <c:strCache>
                <c:ptCount val="12"/>
                <c:pt idx="0">
                  <c:v>XLY</c:v>
                </c:pt>
                <c:pt idx="1">
                  <c:v>XLI</c:v>
                </c:pt>
                <c:pt idx="2">
                  <c:v>XLP</c:v>
                </c:pt>
                <c:pt idx="3">
                  <c:v>XLK</c:v>
                </c:pt>
                <c:pt idx="4">
                  <c:v>SPY</c:v>
                </c:pt>
                <c:pt idx="5">
                  <c:v>XLC</c:v>
                </c:pt>
                <c:pt idx="6">
                  <c:v>XLV</c:v>
                </c:pt>
                <c:pt idx="7">
                  <c:v>XLRE</c:v>
                </c:pt>
                <c:pt idx="8">
                  <c:v>XLB</c:v>
                </c:pt>
                <c:pt idx="9">
                  <c:v>XLU</c:v>
                </c:pt>
                <c:pt idx="10">
                  <c:v>XLF</c:v>
                </c:pt>
                <c:pt idx="11">
                  <c:v>XLE</c:v>
                </c:pt>
              </c:strCache>
            </c:strRef>
          </c:cat>
          <c:val>
            <c:numRef>
              <c:f>Sector_Map!$E$5:$E$16</c:f>
              <c:numCache>
                <c:formatCode>0.0\x;\(0.0"x)";\-</c:formatCode>
                <c:ptCount val="12"/>
                <c:pt idx="0">
                  <c:v>25.5</c:v>
                </c:pt>
                <c:pt idx="1">
                  <c:v>20</c:v>
                </c:pt>
                <c:pt idx="2">
                  <c:v>20.1</c:v>
                </c:pt>
                <c:pt idx="3">
                  <c:v>23.1</c:v>
                </c:pt>
                <c:pt idx="4">
                  <c:v>19.1</c:v>
                </c:pt>
                <c:pt idx="5">
                  <c:v>17.6</c:v>
                </c:pt>
                <c:pt idx="6">
                  <c:v>16.6</c:v>
                </c:pt>
                <c:pt idx="7">
                  <c:v>18.6</c:v>
                </c:pt>
                <c:pt idx="8">
                  <c:v>17.8</c:v>
                </c:pt>
                <c:pt idx="9">
                  <c:v>18</c:v>
                </c:pt>
                <c:pt idx="10">
                  <c:v>13.9</c:v>
                </c:pt>
                <c:pt idx="11">
                  <c:v>11</c:v>
                </c:pt>
              </c:numCache>
            </c:numRef>
          </c:val>
        </c:ser>
        <c:gapWidth val="150"/>
        <c:overlap val="0"/>
        <c:axId val="67809545"/>
        <c:axId val="598787"/>
      </c:barChart>
      <c:catAx>
        <c:axId val="678095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787"/>
        <c:crosses val="autoZero"/>
        <c:auto val="1"/>
        <c:lblAlgn val="ctr"/>
        <c:lblOffset val="100"/>
        <c:noMultiLvlLbl val="0"/>
      </c:catAx>
      <c:valAx>
        <c:axId val="598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P/E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;\(0.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095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 年預期年化回報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Picks!N5</c:f>
              <c:strCache>
                <c:ptCount val="1"/>
                <c:pt idx="0">
                  <c:v>5Y 預期年化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Picks!$A$6:$A$17</c:f>
              <c:strCache>
                <c:ptCount val="12"/>
                <c:pt idx="0">
                  <c:v>BRK.B</c:v>
                </c:pt>
                <c:pt idx="1">
                  <c:v>JPM</c:v>
                </c:pt>
                <c:pt idx="2">
                  <c:v>V</c:v>
                </c:pt>
                <c:pt idx="3">
                  <c:v>NEE</c:v>
                </c:pt>
                <c:pt idx="4">
                  <c:v>CEG</c:v>
                </c:pt>
                <c:pt idx="5">
                  <c:v>SO</c:v>
                </c:pt>
                <c:pt idx="6">
                  <c:v>WELL</c:v>
                </c:pt>
                <c:pt idx="7">
                  <c:v>PLD</c:v>
                </c:pt>
                <c:pt idx="8">
                  <c:v>EQIX</c:v>
                </c:pt>
                <c:pt idx="9">
                  <c:v>LIN</c:v>
                </c:pt>
                <c:pt idx="10">
                  <c:v>NEM</c:v>
                </c:pt>
                <c:pt idx="11">
                  <c:v>FCX</c:v>
                </c:pt>
              </c:strCache>
            </c:strRef>
          </c:cat>
          <c:val>
            <c:numRef>
              <c:f>Picks!$N$6:$N$17</c:f>
              <c:numCache>
                <c:formatCode>0.0%;\(0.0%\);\-</c:formatCode>
                <c:ptCount val="12"/>
                <c:pt idx="0">
                  <c:v>0.0756155520795994</c:v>
                </c:pt>
                <c:pt idx="1">
                  <c:v>0.0786748571742928</c:v>
                </c:pt>
                <c:pt idx="2">
                  <c:v>0.103349515361365</c:v>
                </c:pt>
                <c:pt idx="3">
                  <c:v>0.1168710596541</c:v>
                </c:pt>
                <c:pt idx="4">
                  <c:v>0.0799507196712692</c:v>
                </c:pt>
                <c:pt idx="5">
                  <c:v>0.103656406902861</c:v>
                </c:pt>
                <c:pt idx="6">
                  <c:v>0.0689765154400289</c:v>
                </c:pt>
                <c:pt idx="7">
                  <c:v>0.10583606211711</c:v>
                </c:pt>
                <c:pt idx="8">
                  <c:v>0.101659495432066</c:v>
                </c:pt>
                <c:pt idx="9">
                  <c:v>0.107802558996112</c:v>
                </c:pt>
                <c:pt idx="10">
                  <c:v>-0.0579312718275673</c:v>
                </c:pt>
                <c:pt idx="11">
                  <c:v>0.0180736107705505</c:v>
                </c:pt>
              </c:numCache>
            </c:numRef>
          </c:val>
        </c:ser>
        <c:gapWidth val="150"/>
        <c:overlap val="0"/>
        <c:axId val="32515085"/>
        <c:axId val="3106742"/>
      </c:barChart>
      <c:catAx>
        <c:axId val="32515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6742"/>
        <c:crosses val="autoZero"/>
        <c:auto val="1"/>
        <c:lblAlgn val="ctr"/>
        <c:lblOffset val="100"/>
        <c:noMultiLvlLbl val="0"/>
      </c:catAx>
      <c:valAx>
        <c:axId val="3106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15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2</xdr:row>
      <xdr:rowOff>116280</xdr:rowOff>
    </xdr:from>
    <xdr:to>
      <xdr:col>32</xdr:col>
      <xdr:colOff>581400</xdr:colOff>
      <xdr:row>8</xdr:row>
      <xdr:rowOff>167040</xdr:rowOff>
    </xdr:to>
    <xdr:graphicFrame>
      <xdr:nvGraphicFramePr>
        <xdr:cNvPr id="0" name="Chart 1"/>
        <xdr:cNvGraphicFramePr/>
      </xdr:nvGraphicFramePr>
      <xdr:xfrm>
        <a:off x="17245800" y="571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127080</xdr:rowOff>
    </xdr:from>
    <xdr:to>
      <xdr:col>7</xdr:col>
      <xdr:colOff>614160</xdr:colOff>
      <xdr:row>41</xdr:row>
      <xdr:rowOff>128160</xdr:rowOff>
    </xdr:to>
    <xdr:graphicFrame>
      <xdr:nvGraphicFramePr>
        <xdr:cNvPr id="1" name="Chart 1"/>
        <xdr:cNvGraphicFramePr/>
      </xdr:nvGraphicFramePr>
      <xdr:xfrm>
        <a:off x="563760" y="10677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US_Sector_Valuation_Stock_Selection_2026-10.xlsx" TargetMode="External"/><Relationship Id="rId2" Type="http://schemas.openxmlformats.org/officeDocument/2006/relationships/hyperlink" Target="US_Sector_Valuation_Stock_Selection_2026-10.xlsx" TargetMode="External"/><Relationship Id="rId3" Type="http://schemas.openxmlformats.org/officeDocument/2006/relationships/hyperlink" Target="US_Sector_Valuation_Stock_Selection_2026-10.xlsx" TargetMode="External"/><Relationship Id="rId4" Type="http://schemas.openxmlformats.org/officeDocument/2006/relationships/hyperlink" Target="US_Sector_Valuation_Stock_Selection_2026-10.xlsx" TargetMode="External"/><Relationship Id="rId5" Type="http://schemas.openxmlformats.org/officeDocument/2006/relationships/hyperlink" Target="US_Sector_Valuation_Stock_Selection_2026-10.xlsx" TargetMode="External"/><Relationship Id="rId6" Type="http://schemas.openxmlformats.org/officeDocument/2006/relationships/hyperlink" Target="US_Sector_Valuation_Stock_Selection_2026-10.xlsx" TargetMode="External"/><Relationship Id="rId7" Type="http://schemas.openxmlformats.org/officeDocument/2006/relationships/hyperlink" Target="US_Sector_Valuation_Stock_Selection_2026-10.xlsx" TargetMode="External"/><Relationship Id="rId8" Type="http://schemas.openxmlformats.org/officeDocument/2006/relationships/hyperlink" Target="US_Sector_Valuation_Stock_Selection_2026-10.xlsx" TargetMode="External"/><Relationship Id="rId9" Type="http://schemas.openxmlformats.org/officeDocument/2006/relationships/hyperlink" Target="US_Sector_Valuation_Stock_Selection_2026-10.xlsx" TargetMode="External"/><Relationship Id="rId10" Type="http://schemas.openxmlformats.org/officeDocument/2006/relationships/hyperlink" Target="US_Sector_Valuation_Stock_Selection_2026-10.xlsx" TargetMode="External"/><Relationship Id="rId11" Type="http://schemas.openxmlformats.org/officeDocument/2006/relationships/hyperlink" Target="US_Sector_Valuation_Stock_Selection_2026-10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/>
      <c r="B1" s="1"/>
      <c r="C1" s="1"/>
    </row>
    <row r="2" customFormat="false" ht="15" hidden="false" customHeight="false" outlineLevel="0" collapsed="false">
      <c r="A2" s="1"/>
      <c r="B2" s="1"/>
      <c r="C2" s="1"/>
    </row>
    <row r="3" customFormat="false" ht="15" hidden="false" customHeight="false" outlineLevel="0" collapsed="false">
      <c r="A3" s="1"/>
      <c r="B3" s="1"/>
      <c r="C3" s="1"/>
    </row>
    <row r="4" customFormat="false" ht="32.05" hidden="false" customHeight="false" outlineLevel="0" collapsed="false">
      <c r="A4" s="1"/>
      <c r="B4" s="2" t="s">
        <v>0</v>
      </c>
      <c r="C4" s="1"/>
    </row>
    <row r="5" customFormat="false" ht="15" hidden="false" customHeight="false" outlineLevel="0" collapsed="false">
      <c r="A5" s="1"/>
      <c r="B5" s="1"/>
      <c r="C5" s="1"/>
    </row>
    <row r="6" customFormat="false" ht="17.35" hidden="false" customHeight="false" outlineLevel="0" collapsed="false">
      <c r="A6" s="1"/>
      <c r="B6" s="3" t="s">
        <v>1</v>
      </c>
      <c r="C6" s="1"/>
    </row>
    <row r="7" customFormat="false" ht="15" hidden="false" customHeight="false" outlineLevel="0" collapsed="false">
      <c r="A7" s="1"/>
      <c r="B7" s="1"/>
      <c r="C7" s="1"/>
    </row>
    <row r="8" customFormat="false" ht="15" hidden="false" customHeight="false" outlineLevel="0" collapsed="false">
      <c r="A8" s="1"/>
      <c r="B8" s="1"/>
      <c r="C8" s="1"/>
    </row>
    <row r="9" customFormat="false" ht="15" hidden="false" customHeight="false" outlineLevel="0" collapsed="false">
      <c r="A9" s="1"/>
      <c r="B9" s="4" t="s">
        <v>2</v>
      </c>
      <c r="C9" s="1"/>
    </row>
    <row r="10" customFormat="false" ht="15" hidden="false" customHeight="false" outlineLevel="0" collapsed="false">
      <c r="A10" s="1"/>
      <c r="B10" s="4" t="s">
        <v>3</v>
      </c>
      <c r="C10" s="1"/>
    </row>
    <row r="11" customFormat="false" ht="15" hidden="false" customHeight="false" outlineLevel="0" collapsed="false">
      <c r="A11" s="1"/>
      <c r="B11" s="1"/>
      <c r="C11" s="1"/>
    </row>
    <row r="12" customFormat="false" ht="15" hidden="false" customHeight="false" outlineLevel="0" collapsed="false">
      <c r="A12" s="1"/>
      <c r="B12" s="1"/>
      <c r="C12" s="1"/>
    </row>
    <row r="13" customFormat="false" ht="17.15" hidden="false" customHeight="false" outlineLevel="0" collapsed="false">
      <c r="A13" s="1"/>
      <c r="B13" s="5" t="s">
        <v>4</v>
      </c>
      <c r="C13" s="1"/>
    </row>
    <row r="14" customFormat="false" ht="15" hidden="false" customHeight="false" outlineLevel="0" collapsed="false">
      <c r="A14" s="1"/>
      <c r="B14" s="6" t="s">
        <v>5</v>
      </c>
      <c r="C14" s="1"/>
    </row>
    <row r="15" customFormat="false" ht="15" hidden="false" customHeight="false" outlineLevel="0" collapsed="false">
      <c r="A15" s="1"/>
      <c r="B15" s="6" t="s">
        <v>6</v>
      </c>
      <c r="C15" s="1"/>
    </row>
    <row r="16" customFormat="false" ht="15" hidden="false" customHeight="false" outlineLevel="0" collapsed="false">
      <c r="A16" s="1"/>
      <c r="B16" s="6" t="s">
        <v>7</v>
      </c>
      <c r="C16" s="1"/>
    </row>
    <row r="17" customFormat="false" ht="15" hidden="false" customHeight="false" outlineLevel="0" collapsed="false">
      <c r="A17" s="1"/>
      <c r="B17" s="6" t="s">
        <v>8</v>
      </c>
      <c r="C17" s="1"/>
    </row>
    <row r="18" customFormat="false" ht="15" hidden="false" customHeight="false" outlineLevel="0" collapsed="false">
      <c r="A18" s="1"/>
      <c r="B18" s="6" t="s">
        <v>9</v>
      </c>
      <c r="C18" s="1"/>
    </row>
    <row r="19" customFormat="false" ht="15" hidden="false" customHeight="false" outlineLevel="0" collapsed="false">
      <c r="A19" s="1"/>
      <c r="B19" s="6" t="s">
        <v>10</v>
      </c>
      <c r="C19" s="1"/>
    </row>
    <row r="20" customFormat="false" ht="15" hidden="false" customHeight="false" outlineLevel="0" collapsed="false">
      <c r="A20" s="1"/>
      <c r="B20" s="6" t="s">
        <v>11</v>
      </c>
      <c r="C20" s="1"/>
    </row>
    <row r="21" customFormat="false" ht="15" hidden="false" customHeight="false" outlineLevel="0" collapsed="false">
      <c r="A21" s="1"/>
      <c r="B21" s="6" t="s">
        <v>12</v>
      </c>
      <c r="C21" s="1"/>
    </row>
    <row r="22" customFormat="false" ht="15" hidden="false" customHeight="false" outlineLevel="0" collapsed="false">
      <c r="A22" s="1"/>
      <c r="B22" s="6" t="s">
        <v>13</v>
      </c>
      <c r="C22" s="1"/>
    </row>
    <row r="23" customFormat="false" ht="15" hidden="false" customHeight="false" outlineLevel="0" collapsed="false">
      <c r="A23" s="1"/>
      <c r="B23" s="6" t="s">
        <v>14</v>
      </c>
      <c r="C23" s="1"/>
    </row>
    <row r="24" customFormat="false" ht="15" hidden="false" customHeight="false" outlineLevel="0" collapsed="false">
      <c r="A24" s="1"/>
      <c r="B24" s="6" t="s">
        <v>15</v>
      </c>
      <c r="C24" s="1"/>
    </row>
    <row r="25" customFormat="false" ht="15" hidden="false" customHeight="false" outlineLevel="0" collapsed="false">
      <c r="A25" s="1"/>
      <c r="B25" s="1"/>
      <c r="C25" s="1"/>
    </row>
    <row r="26" customFormat="false" ht="15" hidden="false" customHeight="false" outlineLevel="0" collapsed="false">
      <c r="A26" s="1"/>
      <c r="B26" s="1"/>
      <c r="C26" s="1"/>
    </row>
    <row r="27" customFormat="false" ht="15" hidden="false" customHeight="false" outlineLevel="0" collapsed="false">
      <c r="A27" s="1"/>
      <c r="B27" s="7" t="s">
        <v>16</v>
      </c>
      <c r="C27" s="1"/>
    </row>
    <row r="28" customFormat="false" ht="15" hidden="false" customHeight="false" outlineLevel="0" collapsed="false">
      <c r="A28" s="1"/>
      <c r="B28" s="1"/>
      <c r="C28" s="1"/>
    </row>
    <row r="29" customFormat="false" ht="25.35" hidden="false" customHeight="false" outlineLevel="0" collapsed="false">
      <c r="A29" s="1"/>
      <c r="B29" s="8" t="s">
        <v>17</v>
      </c>
      <c r="C29" s="1"/>
    </row>
    <row r="30" customFormat="false" ht="15" hidden="false" customHeight="false" outlineLevel="0" collapsed="false">
      <c r="A30" s="1"/>
      <c r="B30" s="1"/>
      <c r="C30" s="1"/>
    </row>
    <row r="31" customFormat="false" ht="15" hidden="false" customHeight="false" outlineLevel="0" collapsed="false">
      <c r="A31" s="1"/>
      <c r="B31" s="1"/>
      <c r="C31" s="1"/>
    </row>
    <row r="32" customFormat="false" ht="15" hidden="false" customHeight="false" outlineLevel="0" collapsed="false">
      <c r="A32" s="1"/>
      <c r="B32" s="1"/>
      <c r="C32" s="1"/>
    </row>
    <row r="33" customFormat="false" ht="15" hidden="false" customHeight="false" outlineLevel="0" collapsed="false">
      <c r="A33" s="1"/>
      <c r="B33" s="1"/>
      <c r="C33" s="1"/>
    </row>
    <row r="34" customFormat="false" ht="15" hidden="false" customHeight="false" outlineLevel="0" collapsed="false">
      <c r="A34" s="1"/>
      <c r="B34" s="1"/>
      <c r="C34" s="1"/>
    </row>
    <row r="35" customFormat="false" ht="15" hidden="false" customHeight="false" outlineLevel="0" collapsed="false">
      <c r="A35" s="1"/>
      <c r="B35" s="1"/>
      <c r="C35" s="1"/>
    </row>
    <row r="36" customFormat="false" ht="15" hidden="false" customHeight="false" outlineLevel="0" collapsed="false">
      <c r="A36" s="1"/>
      <c r="B36" s="1"/>
      <c r="C36" s="1"/>
    </row>
    <row r="37" customFormat="false" ht="15" hidden="false" customHeight="false" outlineLevel="0" collapsed="false">
      <c r="A37" s="1"/>
      <c r="B37" s="1"/>
      <c r="C37" s="1"/>
    </row>
    <row r="38" customFormat="false" ht="15" hidden="false" customHeight="false" outlineLevel="0" collapsed="false">
      <c r="A38" s="1"/>
      <c r="B38" s="1"/>
      <c r="C38" s="1"/>
    </row>
    <row r="39" customFormat="false" ht="15" hidden="false" customHeight="false" outlineLevel="0" collapsed="false">
      <c r="A39" s="1"/>
      <c r="B39" s="1"/>
      <c r="C39" s="1"/>
    </row>
  </sheetData>
  <hyperlinks>
    <hyperlink ref="B14" r:id="rId1" location="Summary!A1" display=" 1.  Summary  —  結論摘要與最終組合"/>
    <hyperlink ref="B15" r:id="rId2" location="Sector_Map!A1" display=" 2.  Sector_Map  —  11 大板塊 Forward P/E vs 5Y/10Y 均值、盈利增速、低估/高估判定"/>
    <hyperlink ref="B16" r:id="rId3" location="Methodology!A1" display=" 3.  Methodology  —  各板塊估值錨、P/E 失真點、板塊估值算法合理性評估"/>
    <hyperlink ref="B17" r:id="rId4" location="Competition!A1" display=" 4.  Competition  —  板塊內部競爭方式、集中度、護城河來源"/>
    <hyperlink ref="B18" r:id="rId5" location="Macro!A1" display=" 5.  Macro  —  宏觀儀表板 + 個股宏觀敏感度矩陣"/>
    <hyperlink ref="B19" r:id="rId6" location="Comps!A1" display=" 6.  Comps  —  12 家龍頭可比估值表（可重算）"/>
    <hyperlink ref="B20" r:id="rId7" location="Financials!A1" display=" 7.  Financials  —  FY2020–FY2025 財務數據（LongBridge）"/>
    <hyperlink ref="B21" r:id="rId8" location="Valuation!A1" display=" 8.  Valuation  —  多方法估值：歷史倍數 / 同業倍數 / 兩階段 DCF·DDM / 共識目標價 + 反向 DCF"/>
    <hyperlink ref="B22" r:id="rId9" location="Scorecard!A1" display=" 9.  Scorecard  —  巴菲特準則：業務易懂、護城河、ROE、資產負債表、管理層、宏觀韌性 + 估值分"/>
    <hyperlink ref="B23" r:id="rId10" location="Picks!A1" display="10.  Picks  —  5 年期預期回報、排序、組合權重、買入理由、出場條件"/>
    <hyperlink ref="B24" r:id="rId11" location="Sources!A1" display="11.  Sources  —  數據來源、假設、免責聲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9" min="9" style="0" width="50"/>
  </cols>
  <sheetData>
    <row r="1" customFormat="false" ht="20.85" hidden="false" customHeight="false" outlineLevel="0" collapsed="false">
      <c r="A1" s="9" t="s">
        <v>18</v>
      </c>
    </row>
    <row r="2" customFormat="false" ht="15" hidden="false" customHeight="false" outlineLevel="0" collapsed="false">
      <c r="A2" s="10" t="s">
        <v>19</v>
      </c>
    </row>
    <row r="4" customFormat="false" ht="15" hidden="false" customHeight="false" outlineLevel="0" collapsed="false">
      <c r="A4" s="11" t="s">
        <v>20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B5" s="13" t="s">
        <v>21</v>
      </c>
      <c r="C5" s="13"/>
      <c r="D5" s="13"/>
      <c r="E5" s="13"/>
      <c r="F5" s="13"/>
      <c r="G5" s="13"/>
      <c r="H5" s="13"/>
      <c r="I5" s="13"/>
    </row>
    <row r="6" customFormat="false" ht="45.75" hidden="false" customHeight="true" outlineLevel="0" collapsed="false">
      <c r="B6" s="13" t="s">
        <v>22</v>
      </c>
      <c r="C6" s="13"/>
      <c r="D6" s="13"/>
      <c r="E6" s="13"/>
      <c r="F6" s="13"/>
      <c r="G6" s="13"/>
      <c r="H6" s="13"/>
      <c r="I6" s="13"/>
    </row>
    <row r="7" customFormat="false" ht="45.75" hidden="false" customHeight="true" outlineLevel="0" collapsed="false">
      <c r="B7" s="13" t="s">
        <v>23</v>
      </c>
      <c r="C7" s="13"/>
      <c r="D7" s="13"/>
      <c r="E7" s="13"/>
      <c r="F7" s="13"/>
      <c r="G7" s="13"/>
      <c r="H7" s="13"/>
      <c r="I7" s="13"/>
    </row>
    <row r="8" customFormat="false" ht="45.75" hidden="false" customHeight="true" outlineLevel="0" collapsed="false">
      <c r="B8" s="13" t="s">
        <v>24</v>
      </c>
      <c r="C8" s="13"/>
      <c r="D8" s="13"/>
      <c r="E8" s="13"/>
      <c r="F8" s="13"/>
      <c r="G8" s="13"/>
      <c r="H8" s="13"/>
      <c r="I8" s="13"/>
    </row>
    <row r="9" customFormat="false" ht="45.75" hidden="false" customHeight="true" outlineLevel="0" collapsed="false">
      <c r="B9" s="13" t="s">
        <v>25</v>
      </c>
      <c r="C9" s="13"/>
      <c r="D9" s="13"/>
      <c r="E9" s="13"/>
      <c r="F9" s="13"/>
      <c r="G9" s="13"/>
      <c r="H9" s="13"/>
      <c r="I9" s="13"/>
    </row>
    <row r="10" customFormat="false" ht="45.75" hidden="false" customHeight="true" outlineLevel="0" collapsed="false">
      <c r="B10" s="13" t="s">
        <v>26</v>
      </c>
      <c r="C10" s="13"/>
      <c r="D10" s="13"/>
      <c r="E10" s="13"/>
      <c r="F10" s="13"/>
      <c r="G10" s="13"/>
      <c r="H10" s="13"/>
      <c r="I10" s="13"/>
    </row>
    <row r="12" customFormat="false" ht="15" hidden="false" customHeight="false" outlineLevel="0" collapsed="false">
      <c r="A12" s="11" t="s">
        <v>27</v>
      </c>
      <c r="B12" s="12"/>
      <c r="C12" s="12"/>
      <c r="D12" s="12"/>
      <c r="E12" s="12"/>
      <c r="F12" s="12"/>
      <c r="G12" s="12"/>
      <c r="H12" s="12"/>
      <c r="I12" s="12"/>
    </row>
    <row r="13" customFormat="false" ht="30" hidden="false" customHeight="true" outlineLevel="0" collapsed="false">
      <c r="A13" s="14" t="s">
        <v>28</v>
      </c>
      <c r="B13" s="15" t="s">
        <v>29</v>
      </c>
      <c r="C13" s="14" t="s">
        <v>30</v>
      </c>
      <c r="D13" s="15" t="s">
        <v>31</v>
      </c>
      <c r="E13" s="15" t="s">
        <v>32</v>
      </c>
      <c r="F13" s="15" t="s">
        <v>33</v>
      </c>
      <c r="G13" s="15" t="s">
        <v>34</v>
      </c>
      <c r="H13" s="14" t="s">
        <v>35</v>
      </c>
      <c r="I13" s="15" t="s">
        <v>36</v>
      </c>
    </row>
    <row r="14" customFormat="false" ht="30" hidden="false" customHeight="true" outlineLevel="0" collapsed="false">
      <c r="A14" s="16" t="n">
        <v>1</v>
      </c>
      <c r="B14" s="17" t="s">
        <v>37</v>
      </c>
      <c r="C14" s="16" t="s">
        <v>38</v>
      </c>
      <c r="D14" s="18" t="str">
        <f aca="false">Picks!Q15</f>
        <v>核心持有（首選）</v>
      </c>
      <c r="E14" s="19" t="n">
        <f aca="false">Picks!R15</f>
        <v>0.225</v>
      </c>
      <c r="F14" s="20" t="n">
        <f aca="false">Picks!D15</f>
        <v>483.73</v>
      </c>
      <c r="G14" s="20" t="n">
        <f aca="false">Valuation!V25</f>
        <v>454.392506293488</v>
      </c>
      <c r="H14" s="21" t="n">
        <f aca="false">Picks!N15</f>
        <v>0.107802558996112</v>
      </c>
      <c r="I14" s="22" t="s">
        <v>39</v>
      </c>
    </row>
    <row r="15" customFormat="false" ht="30" hidden="false" customHeight="true" outlineLevel="0" collapsed="false">
      <c r="A15" s="16" t="n">
        <v>2</v>
      </c>
      <c r="B15" s="17" t="s">
        <v>40</v>
      </c>
      <c r="C15" s="16" t="s">
        <v>41</v>
      </c>
      <c r="D15" s="18" t="str">
        <f aca="false">Picks!Q6</f>
        <v>核心持有</v>
      </c>
      <c r="E15" s="19" t="n">
        <f aca="false">Picks!R6</f>
        <v>0.225</v>
      </c>
      <c r="F15" s="20" t="n">
        <f aca="false">Picks!D6</f>
        <v>515.62</v>
      </c>
      <c r="G15" s="20" t="n">
        <f aca="false">Valuation!V16</f>
        <v>524.689502157089</v>
      </c>
      <c r="H15" s="21" t="n">
        <f aca="false">Picks!N6</f>
        <v>0.0756155520795994</v>
      </c>
      <c r="I15" s="22" t="s">
        <v>42</v>
      </c>
    </row>
    <row r="16" customFormat="false" ht="30" hidden="false" customHeight="true" outlineLevel="0" collapsed="false">
      <c r="A16" s="16" t="n">
        <v>3</v>
      </c>
      <c r="B16" s="17" t="s">
        <v>43</v>
      </c>
      <c r="C16" s="16" t="s">
        <v>44</v>
      </c>
      <c r="D16" s="18" t="str">
        <f aca="false">Picks!Q8</f>
        <v>核心持有</v>
      </c>
      <c r="E16" s="19" t="n">
        <f aca="false">Picks!R8</f>
        <v>0.2</v>
      </c>
      <c r="F16" s="20" t="n">
        <f aca="false">Picks!D8</f>
        <v>385.45</v>
      </c>
      <c r="G16" s="20" t="n">
        <f aca="false">Valuation!V18</f>
        <v>380.957191735286</v>
      </c>
      <c r="H16" s="21" t="n">
        <f aca="false">Picks!N8</f>
        <v>0.103349515361365</v>
      </c>
      <c r="I16" s="22" t="s">
        <v>45</v>
      </c>
    </row>
    <row r="17" customFormat="false" ht="30" hidden="false" customHeight="true" outlineLevel="0" collapsed="false">
      <c r="A17" s="16" t="n">
        <v>4</v>
      </c>
      <c r="B17" s="17" t="s">
        <v>46</v>
      </c>
      <c r="C17" s="16" t="s">
        <v>47</v>
      </c>
      <c r="D17" s="18" t="str">
        <f aca="false">Picks!Q13</f>
        <v>核心持有</v>
      </c>
      <c r="E17" s="19" t="n">
        <f aca="false">Picks!R13</f>
        <v>0.15</v>
      </c>
      <c r="F17" s="20" t="n">
        <f aca="false">Picks!D13</f>
        <v>129.49</v>
      </c>
      <c r="G17" s="20" t="n">
        <f aca="false">Valuation!V23</f>
        <v>123.733244209311</v>
      </c>
      <c r="H17" s="21" t="n">
        <f aca="false">Picks!N13</f>
        <v>0.10583606211711</v>
      </c>
      <c r="I17" s="22" t="s">
        <v>48</v>
      </c>
    </row>
    <row r="18" customFormat="false" ht="30" hidden="false" customHeight="true" outlineLevel="0" collapsed="false">
      <c r="A18" s="16" t="n">
        <v>5</v>
      </c>
      <c r="B18" s="17" t="s">
        <v>49</v>
      </c>
      <c r="C18" s="16" t="s">
        <v>50</v>
      </c>
      <c r="D18" s="18" t="str">
        <f aca="false">Picks!Q7</f>
        <v>核心持有（逢低加碼）</v>
      </c>
      <c r="E18" s="19" t="n">
        <f aca="false">Picks!R7</f>
        <v>0.125</v>
      </c>
      <c r="F18" s="20" t="n">
        <f aca="false">Picks!D7</f>
        <v>332.99</v>
      </c>
      <c r="G18" s="20" t="n">
        <f aca="false">Valuation!V17</f>
        <v>317.218697896117</v>
      </c>
      <c r="H18" s="21" t="n">
        <f aca="false">Picks!N7</f>
        <v>0.0786748571742928</v>
      </c>
      <c r="I18" s="22" t="s">
        <v>51</v>
      </c>
    </row>
    <row r="19" customFormat="false" ht="30" hidden="false" customHeight="true" outlineLevel="0" collapsed="false">
      <c r="A19" s="16" t="n">
        <v>6</v>
      </c>
      <c r="B19" s="17" t="s">
        <v>52</v>
      </c>
      <c r="C19" s="16" t="s">
        <v>53</v>
      </c>
      <c r="D19" s="18" t="str">
        <f aca="false">Picks!Q9</f>
        <v>逆向觀察（小倉位）</v>
      </c>
      <c r="E19" s="19" t="n">
        <f aca="false">Picks!R9</f>
        <v>0.075</v>
      </c>
      <c r="F19" s="20" t="n">
        <f aca="false">Picks!D9</f>
        <v>77.38</v>
      </c>
      <c r="G19" s="20" t="n">
        <f aca="false">Valuation!V19</f>
        <v>86.7856269120808</v>
      </c>
      <c r="H19" s="21" t="n">
        <f aca="false">Picks!N9</f>
        <v>0.1168710596541</v>
      </c>
      <c r="I19" s="22" t="s">
        <v>54</v>
      </c>
    </row>
    <row r="20" customFormat="false" ht="15" hidden="false" customHeight="false" outlineLevel="0" collapsed="false">
      <c r="B20" s="23" t="s">
        <v>55</v>
      </c>
      <c r="E20" s="24" t="n">
        <f aca="false">SUM(E14:E19)</f>
        <v>1</v>
      </c>
      <c r="H20" s="25" t="n">
        <f aca="false">Picks!N20</f>
        <v>0.0964140740027186</v>
      </c>
    </row>
    <row r="22" customFormat="false" ht="15" hidden="false" customHeight="false" outlineLevel="0" collapsed="false">
      <c r="A22" s="11" t="s">
        <v>56</v>
      </c>
      <c r="B22" s="12"/>
      <c r="C22" s="12"/>
      <c r="D22" s="12"/>
      <c r="E22" s="12"/>
      <c r="F22" s="12"/>
      <c r="G22" s="12"/>
      <c r="H22" s="12"/>
      <c r="I22" s="12"/>
    </row>
    <row r="23" customFormat="false" ht="27.75" hidden="false" customHeight="true" outlineLevel="0" collapsed="false">
      <c r="B23" s="17" t="s">
        <v>57</v>
      </c>
      <c r="C23" s="22" t="s">
        <v>58</v>
      </c>
      <c r="D23" s="22"/>
      <c r="E23" s="22"/>
      <c r="F23" s="22"/>
      <c r="G23" s="22"/>
      <c r="H23" s="22"/>
      <c r="I23" s="22"/>
    </row>
    <row r="24" customFormat="false" ht="27.75" hidden="false" customHeight="true" outlineLevel="0" collapsed="false">
      <c r="B24" s="17" t="s">
        <v>59</v>
      </c>
      <c r="C24" s="22" t="s">
        <v>60</v>
      </c>
      <c r="D24" s="22"/>
      <c r="E24" s="22"/>
      <c r="F24" s="22"/>
      <c r="G24" s="22"/>
      <c r="H24" s="22"/>
      <c r="I24" s="22"/>
    </row>
    <row r="25" customFormat="false" ht="27.75" hidden="false" customHeight="true" outlineLevel="0" collapsed="false">
      <c r="B25" s="17" t="s">
        <v>61</v>
      </c>
      <c r="C25" s="26" t="s">
        <v>62</v>
      </c>
      <c r="D25" s="26"/>
      <c r="E25" s="26"/>
      <c r="F25" s="26"/>
      <c r="G25" s="26"/>
      <c r="H25" s="26"/>
      <c r="I25" s="26"/>
    </row>
    <row r="26" customFormat="false" ht="27.75" hidden="false" customHeight="true" outlineLevel="0" collapsed="false">
      <c r="B26" s="23" t="s">
        <v>63</v>
      </c>
      <c r="C26" s="26" t="s">
        <v>64</v>
      </c>
      <c r="D26" s="26"/>
      <c r="E26" s="26"/>
      <c r="F26" s="26"/>
      <c r="G26" s="26"/>
      <c r="H26" s="26"/>
      <c r="I26" s="26"/>
    </row>
    <row r="28" customFormat="false" ht="15" hidden="false" customHeight="false" outlineLevel="0" collapsed="false">
      <c r="A28" s="11" t="s">
        <v>65</v>
      </c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B29" s="27" t="s">
        <v>66</v>
      </c>
      <c r="C29" s="27"/>
      <c r="D29" s="27"/>
      <c r="E29" s="27"/>
      <c r="F29" s="27"/>
      <c r="G29" s="27"/>
      <c r="H29" s="27"/>
      <c r="I29" s="27"/>
    </row>
    <row r="30" customFormat="false" ht="15" hidden="false" customHeight="false" outlineLevel="0" collapsed="false">
      <c r="B30" s="27" t="s">
        <v>67</v>
      </c>
      <c r="C30" s="27"/>
      <c r="D30" s="27"/>
      <c r="E30" s="27"/>
      <c r="F30" s="27"/>
      <c r="G30" s="27"/>
      <c r="H30" s="27"/>
      <c r="I30" s="27"/>
    </row>
    <row r="31" customFormat="false" ht="15" hidden="false" customHeight="false" outlineLevel="0" collapsed="false">
      <c r="B31" s="27" t="s">
        <v>68</v>
      </c>
      <c r="C31" s="27"/>
      <c r="D31" s="27"/>
      <c r="E31" s="27"/>
      <c r="F31" s="27"/>
      <c r="G31" s="27"/>
      <c r="H31" s="27"/>
      <c r="I31" s="27"/>
    </row>
    <row r="33" customFormat="false" ht="15" hidden="false" customHeight="false" outlineLevel="0" collapsed="false">
      <c r="B33" s="28" t="s">
        <v>69</v>
      </c>
    </row>
  </sheetData>
  <mergeCells count="13">
    <mergeCell ref="B5:I5"/>
    <mergeCell ref="B6:I6"/>
    <mergeCell ref="B7:I7"/>
    <mergeCell ref="B8:I8"/>
    <mergeCell ref="B9:I9"/>
    <mergeCell ref="B10:I10"/>
    <mergeCell ref="C23:I23"/>
    <mergeCell ref="C24:I24"/>
    <mergeCell ref="C25:I25"/>
    <mergeCell ref="C26:I26"/>
    <mergeCell ref="B29:I29"/>
    <mergeCell ref="B30:I30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5" min="3" style="0" width="9"/>
    <col collapsed="false" customWidth="true" hidden="false" outlineLevel="0" max="8" min="6" style="0" width="10"/>
    <col collapsed="false" customWidth="true" hidden="false" outlineLevel="0" max="10" min="9" style="0" width="9"/>
    <col collapsed="false" customWidth="true" hidden="false" outlineLevel="0" max="12" min="11" style="0" width="10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46"/>
    <col collapsed="false" customWidth="true" hidden="false" outlineLevel="0" max="19" min="19" style="0" width="14"/>
  </cols>
  <sheetData>
    <row r="1" customFormat="false" ht="20.85" hidden="false" customHeight="false" outlineLevel="0" collapsed="false">
      <c r="A1" s="9" t="s">
        <v>70</v>
      </c>
    </row>
    <row r="2" customFormat="false" ht="15" hidden="false" customHeight="false" outlineLevel="0" collapsed="false">
      <c r="A2" s="10" t="s">
        <v>71</v>
      </c>
    </row>
    <row r="4" customFormat="false" ht="39.75" hidden="false" customHeight="true" outlineLevel="0" collapsed="false">
      <c r="A4" s="15" t="s">
        <v>72</v>
      </c>
      <c r="B4" s="14" t="s">
        <v>73</v>
      </c>
      <c r="C4" s="14" t="s">
        <v>74</v>
      </c>
      <c r="D4" s="14" t="s">
        <v>75</v>
      </c>
      <c r="E4" s="14" t="s">
        <v>76</v>
      </c>
      <c r="F4" s="14" t="s">
        <v>77</v>
      </c>
      <c r="G4" s="14" t="s">
        <v>78</v>
      </c>
      <c r="H4" s="14" t="s">
        <v>79</v>
      </c>
      <c r="I4" s="14" t="s">
        <v>80</v>
      </c>
      <c r="J4" s="14" t="s">
        <v>81</v>
      </c>
      <c r="K4" s="14" t="s">
        <v>82</v>
      </c>
      <c r="L4" s="15" t="s">
        <v>83</v>
      </c>
      <c r="M4" s="14" t="s">
        <v>84</v>
      </c>
      <c r="N4" s="15" t="s">
        <v>85</v>
      </c>
      <c r="O4" s="14" t="s">
        <v>86</v>
      </c>
      <c r="P4" s="15" t="s">
        <v>87</v>
      </c>
      <c r="Q4" s="15" t="s">
        <v>88</v>
      </c>
      <c r="R4" s="15" t="s">
        <v>89</v>
      </c>
      <c r="S4" s="15" t="s">
        <v>90</v>
      </c>
    </row>
    <row r="5" customFormat="false" ht="42" hidden="false" customHeight="true" outlineLevel="0" collapsed="false">
      <c r="A5" s="29" t="s">
        <v>91</v>
      </c>
      <c r="B5" s="30" t="s">
        <v>92</v>
      </c>
      <c r="C5" s="31" t="n">
        <v>23.2</v>
      </c>
      <c r="D5" s="31" t="n">
        <v>26</v>
      </c>
      <c r="E5" s="31" t="n">
        <v>25.5</v>
      </c>
      <c r="F5" s="32" t="n">
        <f aca="false">C5/E5-1</f>
        <v>-0.0901960784313726</v>
      </c>
      <c r="G5" s="32" t="n">
        <f aca="false">C5/D5-1</f>
        <v>-0.107692307692308</v>
      </c>
      <c r="H5" s="33" t="n">
        <v>0.352</v>
      </c>
      <c r="I5" s="33" t="n">
        <v>-0.025</v>
      </c>
      <c r="J5" s="33" t="n">
        <v>0.084</v>
      </c>
      <c r="K5" s="34" t="str">
        <f aca="false">IF(I5&gt;0,C5/(I5*100),"n/m")</f>
        <v>n/m</v>
      </c>
      <c r="L5" s="32" t="n">
        <f aca="false">1/C5</f>
        <v>0.0431034482758621</v>
      </c>
      <c r="M5" s="32" t="n">
        <f aca="false">L5-Macro!$C$8</f>
        <v>-0.00289655172413793</v>
      </c>
      <c r="N5" s="33" t="n">
        <v>0.24</v>
      </c>
      <c r="O5" s="33" t="n">
        <v>0.58</v>
      </c>
      <c r="P5" s="35" t="str">
        <f aca="false">IF(F5&lt;=-0.05,"低估",IF(F5&gt;=0.05,"高估","合理"))</f>
        <v>低估</v>
      </c>
      <c r="Q5" s="36" t="s">
        <v>93</v>
      </c>
      <c r="R5" s="22" t="s">
        <v>94</v>
      </c>
      <c r="S5" s="35" t="s">
        <v>95</v>
      </c>
    </row>
    <row r="6" customFormat="false" ht="42" hidden="false" customHeight="true" outlineLevel="0" collapsed="false">
      <c r="A6" s="37" t="s">
        <v>96</v>
      </c>
      <c r="B6" s="38" t="s">
        <v>97</v>
      </c>
      <c r="C6" s="39" t="n">
        <v>22.8</v>
      </c>
      <c r="D6" s="39" t="n">
        <v>20.9</v>
      </c>
      <c r="E6" s="39" t="n">
        <v>20</v>
      </c>
      <c r="F6" s="40" t="n">
        <f aca="false">C6/E6-1</f>
        <v>0.14</v>
      </c>
      <c r="G6" s="40" t="n">
        <f aca="false">C6/D6-1</f>
        <v>0.0909090909090911</v>
      </c>
      <c r="H6" s="41" t="n">
        <v>0.121</v>
      </c>
      <c r="I6" s="41" t="n">
        <v>0.163</v>
      </c>
      <c r="J6" s="41" t="n">
        <v>0.083</v>
      </c>
      <c r="K6" s="42" t="n">
        <f aca="false">IF(I6&gt;0,C6/(I6*100),"n/m")</f>
        <v>1.39877300613497</v>
      </c>
      <c r="L6" s="40" t="n">
        <f aca="false">1/C6</f>
        <v>0.043859649122807</v>
      </c>
      <c r="M6" s="40" t="n">
        <f aca="false">L6-Macro!$C$8</f>
        <v>-0.00214035087719298</v>
      </c>
      <c r="N6" s="41" t="n">
        <v>0.247</v>
      </c>
      <c r="O6" s="41" t="n">
        <v>0.58</v>
      </c>
      <c r="P6" s="35" t="str">
        <f aca="false">IF(F6&lt;=-0.05,"低估",IF(F6&gt;=0.05,"高估","合理"))</f>
        <v>高估</v>
      </c>
      <c r="Q6" s="36" t="s">
        <v>98</v>
      </c>
      <c r="R6" s="22" t="s">
        <v>99</v>
      </c>
      <c r="S6" s="35" t="s">
        <v>95</v>
      </c>
    </row>
    <row r="7" customFormat="false" ht="42" hidden="false" customHeight="true" outlineLevel="0" collapsed="false">
      <c r="A7" s="29" t="s">
        <v>100</v>
      </c>
      <c r="B7" s="30" t="s">
        <v>101</v>
      </c>
      <c r="C7" s="31" t="n">
        <v>21.6</v>
      </c>
      <c r="D7" s="31" t="n">
        <v>20.8</v>
      </c>
      <c r="E7" s="31" t="n">
        <v>20.1</v>
      </c>
      <c r="F7" s="32" t="n">
        <f aca="false">C7/E7-1</f>
        <v>0.0746268656716418</v>
      </c>
      <c r="G7" s="32" t="n">
        <f aca="false">C7/D7-1</f>
        <v>0.0384615384615386</v>
      </c>
      <c r="H7" s="33" t="n">
        <v>0.075</v>
      </c>
      <c r="I7" s="33" t="n">
        <v>0.069</v>
      </c>
      <c r="J7" s="33" t="n">
        <v>0.042</v>
      </c>
      <c r="K7" s="34" t="n">
        <f aca="false">IF(I7&gt;0,C7/(I7*100),"n/m")</f>
        <v>3.1304347826087</v>
      </c>
      <c r="L7" s="32" t="n">
        <f aca="false">1/C7</f>
        <v>0.0462962962962963</v>
      </c>
      <c r="M7" s="32" t="n">
        <f aca="false">L7-Macro!$C$8</f>
        <v>0.000296296296296295</v>
      </c>
      <c r="N7" s="33" t="n">
        <v>0.119</v>
      </c>
      <c r="O7" s="33" t="n">
        <v>0.47</v>
      </c>
      <c r="P7" s="35" t="str">
        <f aca="false">IF(F7&lt;=-0.05,"低估",IF(F7&gt;=0.05,"高估","合理"))</f>
        <v>高估</v>
      </c>
      <c r="Q7" s="36" t="s">
        <v>98</v>
      </c>
      <c r="R7" s="26" t="s">
        <v>102</v>
      </c>
      <c r="S7" s="35" t="s">
        <v>95</v>
      </c>
    </row>
    <row r="8" customFormat="false" ht="42" hidden="false" customHeight="true" outlineLevel="0" collapsed="false">
      <c r="A8" s="37" t="s">
        <v>103</v>
      </c>
      <c r="B8" s="38" t="s">
        <v>104</v>
      </c>
      <c r="C8" s="39" t="n">
        <v>21.3</v>
      </c>
      <c r="D8" s="39" t="n">
        <v>25.6</v>
      </c>
      <c r="E8" s="39" t="n">
        <v>23.1</v>
      </c>
      <c r="F8" s="40" t="n">
        <f aca="false">C8/E8-1</f>
        <v>-0.077922077922078</v>
      </c>
      <c r="G8" s="40" t="n">
        <f aca="false">C8/D8-1</f>
        <v>-0.16796875</v>
      </c>
      <c r="H8" s="41" t="n">
        <v>0.534</v>
      </c>
      <c r="I8" s="41" t="n">
        <v>0.416</v>
      </c>
      <c r="J8" s="41" t="n">
        <v>0.292</v>
      </c>
      <c r="K8" s="42" t="n">
        <f aca="false">IF(I8&gt;0,C8/(I8*100),"n/m")</f>
        <v>0.512019230769231</v>
      </c>
      <c r="L8" s="40" t="n">
        <f aca="false">1/C8</f>
        <v>0.0469483568075117</v>
      </c>
      <c r="M8" s="40" t="n">
        <f aca="false">L8-Macro!$C$8</f>
        <v>0.000948356807511736</v>
      </c>
      <c r="N8" s="41" t="n">
        <v>0.214</v>
      </c>
      <c r="O8" s="41" t="n">
        <v>0.69</v>
      </c>
      <c r="P8" s="35" t="str">
        <f aca="false">IF(F8&lt;=-0.05,"低估",IF(F8&gt;=0.05,"高估","合理"))</f>
        <v>低估</v>
      </c>
      <c r="Q8" s="36" t="s">
        <v>105</v>
      </c>
      <c r="R8" s="22" t="s">
        <v>106</v>
      </c>
      <c r="S8" s="35" t="s">
        <v>95</v>
      </c>
    </row>
    <row r="9" customFormat="false" ht="42" hidden="false" customHeight="true" outlineLevel="0" collapsed="false">
      <c r="A9" s="17" t="s">
        <v>107</v>
      </c>
      <c r="B9" s="30" t="s">
        <v>108</v>
      </c>
      <c r="C9" s="31" t="n">
        <v>19.1</v>
      </c>
      <c r="D9" s="31" t="n">
        <v>19.8</v>
      </c>
      <c r="E9" s="31" t="n">
        <v>19.1</v>
      </c>
      <c r="F9" s="32" t="n">
        <f aca="false">C9/E9-1</f>
        <v>0</v>
      </c>
      <c r="G9" s="32" t="n">
        <f aca="false">C9/D9-1</f>
        <v>-0.0353535353535354</v>
      </c>
      <c r="H9" s="33" t="n">
        <v>0.327</v>
      </c>
      <c r="I9" s="33" t="n">
        <v>0.158</v>
      </c>
      <c r="J9" s="33" t="n">
        <v>0.094</v>
      </c>
      <c r="K9" s="34" t="n">
        <f aca="false">IF(I9&gt;0,C9/(I9*100),"n/m")</f>
        <v>1.20886075949367</v>
      </c>
      <c r="L9" s="32" t="n">
        <f aca="false">1/C9</f>
        <v>0.0523560209424084</v>
      </c>
      <c r="M9" s="32" t="n">
        <f aca="false">L9-Macro!$C$8</f>
        <v>0.00635602094240837</v>
      </c>
      <c r="N9" s="33" t="n">
        <v>0.196</v>
      </c>
      <c r="O9" s="33" t="n">
        <v>0.6</v>
      </c>
      <c r="P9" s="35" t="str">
        <f aca="false">IF(F9&lt;=-0.05,"低估",IF(F9&gt;=0.05,"高估","合理"))</f>
        <v>合理</v>
      </c>
      <c r="Q9" s="36" t="s">
        <v>109</v>
      </c>
      <c r="R9" s="26" t="s">
        <v>110</v>
      </c>
      <c r="S9" s="16" t="s">
        <v>111</v>
      </c>
    </row>
    <row r="10" customFormat="false" ht="42" hidden="false" customHeight="true" outlineLevel="0" collapsed="false">
      <c r="A10" s="37" t="s">
        <v>112</v>
      </c>
      <c r="B10" s="38" t="s">
        <v>113</v>
      </c>
      <c r="C10" s="39" t="n">
        <v>18.6</v>
      </c>
      <c r="D10" s="39" t="n">
        <v>18.3</v>
      </c>
      <c r="E10" s="39" t="n">
        <v>17.6</v>
      </c>
      <c r="F10" s="40" t="n">
        <f aca="false">C10/E10-1</f>
        <v>0.0568181818181819</v>
      </c>
      <c r="G10" s="40" t="n">
        <f aca="false">C10/D10-1</f>
        <v>0.0163934426229508</v>
      </c>
      <c r="H10" s="41" t="n">
        <v>0.582</v>
      </c>
      <c r="I10" s="41" t="n">
        <v>-0.112</v>
      </c>
      <c r="J10" s="41" t="n">
        <v>0.146</v>
      </c>
      <c r="K10" s="42" t="str">
        <f aca="false">IF(I10&gt;0,C10/(I10*100),"n/m")</f>
        <v>n/m</v>
      </c>
      <c r="L10" s="40" t="n">
        <f aca="false">1/C10</f>
        <v>0.0537634408602151</v>
      </c>
      <c r="M10" s="40" t="n">
        <f aca="false">L10-Macro!$C$8</f>
        <v>0.00776344086021505</v>
      </c>
      <c r="N10" s="41" t="n">
        <v>0.205</v>
      </c>
      <c r="O10" s="41" t="n">
        <v>0.72</v>
      </c>
      <c r="P10" s="35" t="str">
        <f aca="false">IF(F10&lt;=-0.05,"低估",IF(F10&gt;=0.05,"高估","合理"))</f>
        <v>高估</v>
      </c>
      <c r="Q10" s="36" t="s">
        <v>93</v>
      </c>
      <c r="R10" s="26" t="s">
        <v>114</v>
      </c>
      <c r="S10" s="35" t="s">
        <v>95</v>
      </c>
    </row>
    <row r="11" customFormat="false" ht="42" hidden="false" customHeight="true" outlineLevel="0" collapsed="false">
      <c r="A11" s="29" t="s">
        <v>115</v>
      </c>
      <c r="B11" s="30" t="s">
        <v>116</v>
      </c>
      <c r="C11" s="31" t="n">
        <v>18.3</v>
      </c>
      <c r="D11" s="31" t="n">
        <v>17.4</v>
      </c>
      <c r="E11" s="31" t="n">
        <v>16.6</v>
      </c>
      <c r="F11" s="32" t="n">
        <f aca="false">C11/E11-1</f>
        <v>0.102409638554217</v>
      </c>
      <c r="G11" s="32" t="n">
        <f aca="false">C11/D11-1</f>
        <v>0.0517241379310347</v>
      </c>
      <c r="H11" s="33" t="n">
        <v>0.019</v>
      </c>
      <c r="I11" s="33" t="n">
        <v>0.225</v>
      </c>
      <c r="J11" s="33" t="n">
        <v>0.043</v>
      </c>
      <c r="K11" s="34" t="n">
        <f aca="false">IF(I11&gt;0,C11/(I11*100),"n/m")</f>
        <v>0.813333333333333</v>
      </c>
      <c r="L11" s="32" t="n">
        <f aca="false">1/C11</f>
        <v>0.0546448087431694</v>
      </c>
      <c r="M11" s="32" t="n">
        <f aca="false">L11-Macro!$C$8</f>
        <v>0.0086448087431694</v>
      </c>
      <c r="N11" s="33" t="n">
        <v>0.139</v>
      </c>
      <c r="O11" s="33" t="n">
        <v>0.61</v>
      </c>
      <c r="P11" s="35" t="str">
        <f aca="false">IF(F11&lt;=-0.05,"低估",IF(F11&gt;=0.05,"高估","合理"))</f>
        <v>高估</v>
      </c>
      <c r="Q11" s="36" t="s">
        <v>117</v>
      </c>
      <c r="R11" s="26" t="s">
        <v>118</v>
      </c>
      <c r="S11" s="35" t="s">
        <v>119</v>
      </c>
    </row>
    <row r="12" customFormat="false" ht="42" hidden="false" customHeight="true" outlineLevel="0" collapsed="false">
      <c r="A12" s="37" t="s">
        <v>120</v>
      </c>
      <c r="B12" s="38" t="s">
        <v>121</v>
      </c>
      <c r="C12" s="39" t="n">
        <v>16.7</v>
      </c>
      <c r="D12" s="39" t="n">
        <v>18.1</v>
      </c>
      <c r="E12" s="39" t="n">
        <v>18.6</v>
      </c>
      <c r="F12" s="40" t="n">
        <f aca="false">C12/E12-1</f>
        <v>-0.102150537634409</v>
      </c>
      <c r="G12" s="40" t="n">
        <f aca="false">C12/D12-1</f>
        <v>-0.0773480662983427</v>
      </c>
      <c r="H12" s="41" t="n">
        <v>0.101</v>
      </c>
      <c r="I12" s="41" t="n">
        <v>0.064</v>
      </c>
      <c r="J12" s="41" t="n">
        <v>0.079</v>
      </c>
      <c r="K12" s="42" t="n">
        <f aca="false">IF(I12&gt;0,C12/(I12*100),"n/m")</f>
        <v>2.609375</v>
      </c>
      <c r="L12" s="40" t="n">
        <f aca="false">1/C12</f>
        <v>0.0598802395209581</v>
      </c>
      <c r="M12" s="40" t="n">
        <f aca="false">L12-Macro!$C$8</f>
        <v>0.0138802395209581</v>
      </c>
      <c r="N12" s="41" t="n">
        <v>0.235</v>
      </c>
      <c r="O12" s="41" t="n">
        <v>0.55</v>
      </c>
      <c r="P12" s="35" t="str">
        <f aca="false">IF(F12&lt;=-0.05,"低估",IF(F12&gt;=0.05,"高估","合理"))</f>
        <v>低估</v>
      </c>
      <c r="Q12" s="36" t="s">
        <v>122</v>
      </c>
      <c r="R12" s="22" t="s">
        <v>123</v>
      </c>
      <c r="S12" s="43" t="s">
        <v>124</v>
      </c>
    </row>
    <row r="13" customFormat="false" ht="42" hidden="false" customHeight="true" outlineLevel="0" collapsed="false">
      <c r="A13" s="29" t="s">
        <v>125</v>
      </c>
      <c r="B13" s="30" t="s">
        <v>126</v>
      </c>
      <c r="C13" s="31" t="n">
        <v>16.6</v>
      </c>
      <c r="D13" s="31" t="n">
        <v>17.9</v>
      </c>
      <c r="E13" s="31" t="n">
        <v>17.8</v>
      </c>
      <c r="F13" s="32" t="n">
        <f aca="false">C13/E13-1</f>
        <v>-0.0674157303370786</v>
      </c>
      <c r="G13" s="32" t="n">
        <f aca="false">C13/D13-1</f>
        <v>-0.0726256983240222</v>
      </c>
      <c r="H13" s="33" t="n">
        <v>0.38</v>
      </c>
      <c r="I13" s="33" t="n">
        <v>0.121</v>
      </c>
      <c r="J13" s="33" t="n">
        <v>0.06</v>
      </c>
      <c r="K13" s="34" t="n">
        <f aca="false">IF(I13&gt;0,C13/(I13*100),"n/m")</f>
        <v>1.37190082644628</v>
      </c>
      <c r="L13" s="32" t="n">
        <f aca="false">1/C13</f>
        <v>0.0602409638554217</v>
      </c>
      <c r="M13" s="32" t="n">
        <f aca="false">L13-Macro!$C$8</f>
        <v>0.0142409638554217</v>
      </c>
      <c r="N13" s="33" t="n">
        <v>0.222</v>
      </c>
      <c r="O13" s="33" t="n">
        <v>0.63</v>
      </c>
      <c r="P13" s="35" t="str">
        <f aca="false">IF(F13&lt;=-0.05,"低估",IF(F13&gt;=0.05,"高估","合理"))</f>
        <v>低估</v>
      </c>
      <c r="Q13" s="36" t="s">
        <v>127</v>
      </c>
      <c r="R13" s="22" t="s">
        <v>128</v>
      </c>
      <c r="S13" s="43" t="s">
        <v>124</v>
      </c>
    </row>
    <row r="14" customFormat="false" ht="42" hidden="false" customHeight="true" outlineLevel="0" collapsed="false">
      <c r="A14" s="37" t="s">
        <v>129</v>
      </c>
      <c r="B14" s="38" t="s">
        <v>130</v>
      </c>
      <c r="C14" s="39" t="n">
        <v>16.1</v>
      </c>
      <c r="D14" s="39" t="n">
        <v>18</v>
      </c>
      <c r="E14" s="39" t="n">
        <v>18</v>
      </c>
      <c r="F14" s="40" t="n">
        <f aca="false">C14/E14-1</f>
        <v>-0.105555555555556</v>
      </c>
      <c r="G14" s="40" t="n">
        <f aca="false">C14/D14-1</f>
        <v>-0.105555555555556</v>
      </c>
      <c r="H14" s="41" t="n">
        <v>0.13</v>
      </c>
      <c r="I14" s="41" t="n">
        <v>0.089</v>
      </c>
      <c r="J14" s="41" t="n">
        <v>0.049</v>
      </c>
      <c r="K14" s="42" t="n">
        <f aca="false">IF(I14&gt;0,C14/(I14*100),"n/m")</f>
        <v>1.80898876404494</v>
      </c>
      <c r="L14" s="40" t="n">
        <f aca="false">1/C14</f>
        <v>0.062111801242236</v>
      </c>
      <c r="M14" s="40" t="n">
        <f aca="false">L14-Macro!$C$8</f>
        <v>0.016111801242236</v>
      </c>
      <c r="N14" s="41" t="n">
        <v>0.211</v>
      </c>
      <c r="O14" s="41" t="n">
        <v>0.53</v>
      </c>
      <c r="P14" s="35" t="str">
        <f aca="false">IF(F14&lt;=-0.05,"低估",IF(F14&gt;=0.05,"高估","合理"))</f>
        <v>低估</v>
      </c>
      <c r="Q14" s="36" t="s">
        <v>131</v>
      </c>
      <c r="R14" s="22" t="s">
        <v>132</v>
      </c>
      <c r="S14" s="43" t="s">
        <v>124</v>
      </c>
    </row>
    <row r="15" customFormat="false" ht="42" hidden="false" customHeight="true" outlineLevel="0" collapsed="false">
      <c r="A15" s="29" t="s">
        <v>133</v>
      </c>
      <c r="B15" s="30" t="s">
        <v>134</v>
      </c>
      <c r="C15" s="31" t="n">
        <v>14.3</v>
      </c>
      <c r="D15" s="31" t="n">
        <v>14.6</v>
      </c>
      <c r="E15" s="31" t="n">
        <v>13.9</v>
      </c>
      <c r="F15" s="32" t="n">
        <f aca="false">C15/E15-1</f>
        <v>0.0287769784172662</v>
      </c>
      <c r="G15" s="32" t="n">
        <f aca="false">C15/D15-1</f>
        <v>-0.0205479452054794</v>
      </c>
      <c r="H15" s="33" t="n">
        <v>0.147</v>
      </c>
      <c r="I15" s="33" t="n">
        <v>0.089</v>
      </c>
      <c r="J15" s="33" t="n">
        <v>0.053</v>
      </c>
      <c r="K15" s="34" t="n">
        <f aca="false">IF(I15&gt;0,C15/(I15*100),"n/m")</f>
        <v>1.60674157303371</v>
      </c>
      <c r="L15" s="32" t="n">
        <f aca="false">1/C15</f>
        <v>0.0699300699300699</v>
      </c>
      <c r="M15" s="32" t="n">
        <f aca="false">L15-Macro!$C$8</f>
        <v>0.0239300699300699</v>
      </c>
      <c r="N15" s="33" t="n">
        <v>0.158</v>
      </c>
      <c r="O15" s="33" t="n">
        <v>0.55</v>
      </c>
      <c r="P15" s="35" t="str">
        <f aca="false">IF(F15&lt;=-0.05,"低估",IF(F15&gt;=0.05,"高估","合理"))</f>
        <v>合理</v>
      </c>
      <c r="Q15" s="36" t="s">
        <v>135</v>
      </c>
      <c r="R15" s="22" t="s">
        <v>136</v>
      </c>
      <c r="S15" s="43" t="s">
        <v>124</v>
      </c>
    </row>
    <row r="16" customFormat="false" ht="42" hidden="false" customHeight="true" outlineLevel="0" collapsed="false">
      <c r="A16" s="37" t="s">
        <v>137</v>
      </c>
      <c r="B16" s="38" t="s">
        <v>138</v>
      </c>
      <c r="C16" s="39" t="n">
        <v>13.5</v>
      </c>
      <c r="D16" s="39" t="n">
        <v>12.6</v>
      </c>
      <c r="E16" s="39" t="n">
        <v>11</v>
      </c>
      <c r="F16" s="40" t="n">
        <f aca="false">C16/E16-1</f>
        <v>0.227272727272727</v>
      </c>
      <c r="G16" s="40" t="n">
        <f aca="false">C16/D16-1</f>
        <v>0.0714285714285714</v>
      </c>
      <c r="H16" s="41" t="n">
        <v>0.966</v>
      </c>
      <c r="I16" s="41" t="n">
        <v>-0.093</v>
      </c>
      <c r="J16" s="41" t="n">
        <v>-0.052</v>
      </c>
      <c r="K16" s="42" t="str">
        <f aca="false">IF(I16&gt;0,C16/(I16*100),"n/m")</f>
        <v>n/m</v>
      </c>
      <c r="L16" s="40" t="n">
        <f aca="false">1/C16</f>
        <v>0.0740740740740741</v>
      </c>
      <c r="M16" s="40" t="n">
        <f aca="false">L16-Macro!$C$8</f>
        <v>0.0280740740740741</v>
      </c>
      <c r="N16" s="41" t="n">
        <v>0.088</v>
      </c>
      <c r="O16" s="41" t="n">
        <v>0.64</v>
      </c>
      <c r="P16" s="35" t="str">
        <f aca="false">IF(F16&lt;=-0.05,"低估",IF(F16&gt;=0.05,"高估","合理"))</f>
        <v>高估</v>
      </c>
      <c r="Q16" s="36" t="s">
        <v>139</v>
      </c>
      <c r="R16" s="22" t="s">
        <v>140</v>
      </c>
      <c r="S16" s="35" t="s">
        <v>95</v>
      </c>
    </row>
    <row r="18" customFormat="false" ht="15" hidden="false" customHeight="false" outlineLevel="0" collapsed="false">
      <c r="A18" s="11" t="s">
        <v>141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customFormat="false" ht="21.75" hidden="false" customHeight="true" outlineLevel="0" collapsed="false">
      <c r="A19" s="15" t="s">
        <v>142</v>
      </c>
      <c r="B19" s="15" t="s">
        <v>72</v>
      </c>
      <c r="C19" s="14" t="s">
        <v>77</v>
      </c>
      <c r="D19" s="14" t="s">
        <v>74</v>
      </c>
      <c r="E19" s="14" t="s">
        <v>143</v>
      </c>
    </row>
    <row r="20" customFormat="false" ht="15" hidden="false" customHeight="false" outlineLevel="0" collapsed="false">
      <c r="A20" s="16" t="n">
        <v>1</v>
      </c>
      <c r="B20" s="29" t="str">
        <f aca="false">INDEX($A$5:$A$16,MATCH(SMALL($F$5:$F$16,A20),$F$5:$F$16,0))</f>
        <v>公用事業 Utilities</v>
      </c>
      <c r="C20" s="32" t="n">
        <f aca="false">SMALL($F$5:$F$16,A20)</f>
        <v>-0.105555555555556</v>
      </c>
      <c r="D20" s="44" t="n">
        <f aca="false">INDEX($C$5:$C$16,MATCH(C20,$F$5:$F$16,0))</f>
        <v>16.1</v>
      </c>
      <c r="E20" s="34" t="n">
        <f aca="false">INDEX($K$5:$K$16,MATCH(C20,$F$5:$F$16,0))</f>
        <v>1.80898876404494</v>
      </c>
    </row>
    <row r="21" customFormat="false" ht="15" hidden="false" customHeight="false" outlineLevel="0" collapsed="false">
      <c r="A21" s="16" t="n">
        <v>2</v>
      </c>
      <c r="B21" s="29" t="str">
        <f aca="false">INDEX($A$5:$A$16,MATCH(SMALL($F$5:$F$16,A21),$F$5:$F$16,0))</f>
        <v>房地產 Real Estate</v>
      </c>
      <c r="C21" s="32" t="n">
        <f aca="false">SMALL($F$5:$F$16,A21)</f>
        <v>-0.102150537634409</v>
      </c>
      <c r="D21" s="44" t="n">
        <f aca="false">INDEX($C$5:$C$16,MATCH(C21,$F$5:$F$16,0))</f>
        <v>16.7</v>
      </c>
      <c r="E21" s="34" t="n">
        <f aca="false">INDEX($K$5:$K$16,MATCH(C21,$F$5:$F$16,0))</f>
        <v>2.609375</v>
      </c>
    </row>
    <row r="22" customFormat="false" ht="15" hidden="false" customHeight="false" outlineLevel="0" collapsed="false">
      <c r="A22" s="16" t="n">
        <v>3</v>
      </c>
      <c r="B22" s="29" t="str">
        <f aca="false">INDEX($A$5:$A$16,MATCH(SMALL($F$5:$F$16,A22),$F$5:$F$16,0))</f>
        <v>可選消費 Cons. Disc.</v>
      </c>
      <c r="C22" s="32" t="n">
        <f aca="false">SMALL($F$5:$F$16,A22)</f>
        <v>-0.0901960784313726</v>
      </c>
      <c r="D22" s="44" t="n">
        <f aca="false">INDEX($C$5:$C$16,MATCH(C22,$F$5:$F$16,0))</f>
        <v>23.2</v>
      </c>
      <c r="E22" s="34" t="str">
        <f aca="false">INDEX($K$5:$K$16,MATCH(C22,$F$5:$F$16,0))</f>
        <v>n/m</v>
      </c>
    </row>
    <row r="23" customFormat="false" ht="15" hidden="false" customHeight="false" outlineLevel="0" collapsed="false">
      <c r="A23" s="16" t="n">
        <v>4</v>
      </c>
      <c r="B23" s="29" t="str">
        <f aca="false">INDEX($A$5:$A$16,MATCH(SMALL($F$5:$F$16,A23),$F$5:$F$16,0))</f>
        <v>資訊科技 Info. Tech.</v>
      </c>
      <c r="C23" s="32" t="n">
        <f aca="false">SMALL($F$5:$F$16,A23)</f>
        <v>-0.077922077922078</v>
      </c>
      <c r="D23" s="44" t="n">
        <f aca="false">INDEX($C$5:$C$16,MATCH(C23,$F$5:$F$16,0))</f>
        <v>21.3</v>
      </c>
      <c r="E23" s="34" t="n">
        <f aca="false">INDEX($K$5:$K$16,MATCH(C23,$F$5:$F$16,0))</f>
        <v>0.512019230769231</v>
      </c>
    </row>
    <row r="24" customFormat="false" ht="15" hidden="false" customHeight="false" outlineLevel="0" collapsed="false">
      <c r="A24" s="16" t="n">
        <v>5</v>
      </c>
      <c r="B24" s="29" t="str">
        <f aca="false">INDEX($A$5:$A$16,MATCH(SMALL($F$5:$F$16,A24),$F$5:$F$16,0))</f>
        <v>原材料 Materials</v>
      </c>
      <c r="C24" s="32" t="n">
        <f aca="false">SMALL($F$5:$F$16,A24)</f>
        <v>-0.0674157303370786</v>
      </c>
      <c r="D24" s="44" t="n">
        <f aca="false">INDEX($C$5:$C$16,MATCH(C24,$F$5:$F$16,0))</f>
        <v>16.6</v>
      </c>
      <c r="E24" s="34" t="n">
        <f aca="false">INDEX($K$5:$K$16,MATCH(C24,$F$5:$F$16,0))</f>
        <v>1.37190082644628</v>
      </c>
    </row>
    <row r="25" customFormat="false" ht="15" hidden="false" customHeight="false" outlineLevel="0" collapsed="false">
      <c r="A25" s="16" t="n">
        <v>6</v>
      </c>
      <c r="B25" s="29" t="str">
        <f aca="false">INDEX($A$5:$A$16,MATCH(SMALL($F$5:$F$16,A25),$F$5:$F$16,0))</f>
        <v>S&amp;P 500</v>
      </c>
      <c r="C25" s="32" t="n">
        <f aca="false">SMALL($F$5:$F$16,A25)</f>
        <v>0</v>
      </c>
      <c r="D25" s="44" t="n">
        <f aca="false">INDEX($C$5:$C$16,MATCH(C25,$F$5:$F$16,0))</f>
        <v>19.1</v>
      </c>
      <c r="E25" s="34" t="n">
        <f aca="false">INDEX($K$5:$K$16,MATCH(C25,$F$5:$F$16,0))</f>
        <v>1.20886075949367</v>
      </c>
    </row>
    <row r="26" customFormat="false" ht="15" hidden="false" customHeight="false" outlineLevel="0" collapsed="false">
      <c r="A26" s="16" t="n">
        <v>7</v>
      </c>
      <c r="B26" s="29" t="str">
        <f aca="false">INDEX($A$5:$A$16,MATCH(SMALL($F$5:$F$16,A26),$F$5:$F$16,0))</f>
        <v>金融 Financials</v>
      </c>
      <c r="C26" s="32" t="n">
        <f aca="false">SMALL($F$5:$F$16,A26)</f>
        <v>0.0287769784172662</v>
      </c>
      <c r="D26" s="44" t="n">
        <f aca="false">INDEX($C$5:$C$16,MATCH(C26,$F$5:$F$16,0))</f>
        <v>14.3</v>
      </c>
      <c r="E26" s="34" t="n">
        <f aca="false">INDEX($K$5:$K$16,MATCH(C26,$F$5:$F$16,0))</f>
        <v>1.60674157303371</v>
      </c>
    </row>
    <row r="27" customFormat="false" ht="15" hidden="false" customHeight="false" outlineLevel="0" collapsed="false">
      <c r="A27" s="16" t="n">
        <v>8</v>
      </c>
      <c r="B27" s="29" t="str">
        <f aca="false">INDEX($A$5:$A$16,MATCH(SMALL($F$5:$F$16,A27),$F$5:$F$16,0))</f>
        <v>通訊服務 Comm. Svcs</v>
      </c>
      <c r="C27" s="32" t="n">
        <f aca="false">SMALL($F$5:$F$16,A27)</f>
        <v>0.0568181818181819</v>
      </c>
      <c r="D27" s="44" t="n">
        <f aca="false">INDEX($C$5:$C$16,MATCH(C27,$F$5:$F$16,0))</f>
        <v>18.6</v>
      </c>
      <c r="E27" s="34" t="str">
        <f aca="false">INDEX($K$5:$K$16,MATCH(C27,$F$5:$F$16,0))</f>
        <v>n/m</v>
      </c>
    </row>
    <row r="28" customFormat="false" ht="15" hidden="false" customHeight="false" outlineLevel="0" collapsed="false">
      <c r="A28" s="16" t="n">
        <v>9</v>
      </c>
      <c r="B28" s="29" t="str">
        <f aca="false">INDEX($A$5:$A$16,MATCH(SMALL($F$5:$F$16,A28),$F$5:$F$16,0))</f>
        <v>必需消費 Staples</v>
      </c>
      <c r="C28" s="32" t="n">
        <f aca="false">SMALL($F$5:$F$16,A28)</f>
        <v>0.0746268656716418</v>
      </c>
      <c r="D28" s="44" t="n">
        <f aca="false">INDEX($C$5:$C$16,MATCH(C28,$F$5:$F$16,0))</f>
        <v>21.6</v>
      </c>
      <c r="E28" s="34" t="n">
        <f aca="false">INDEX($K$5:$K$16,MATCH(C28,$F$5:$F$16,0))</f>
        <v>3.1304347826087</v>
      </c>
    </row>
    <row r="29" customFormat="false" ht="15" hidden="false" customHeight="false" outlineLevel="0" collapsed="false">
      <c r="A29" s="16" t="n">
        <v>10</v>
      </c>
      <c r="B29" s="29" t="str">
        <f aca="false">INDEX($A$5:$A$16,MATCH(SMALL($F$5:$F$16,A29),$F$5:$F$16,0))</f>
        <v>醫療保健 Health Care</v>
      </c>
      <c r="C29" s="32" t="n">
        <f aca="false">SMALL($F$5:$F$16,A29)</f>
        <v>0.102409638554217</v>
      </c>
      <c r="D29" s="44" t="n">
        <f aca="false">INDEX($C$5:$C$16,MATCH(C29,$F$5:$F$16,0))</f>
        <v>18.3</v>
      </c>
      <c r="E29" s="34" t="n">
        <f aca="false">INDEX($K$5:$K$16,MATCH(C29,$F$5:$F$16,0))</f>
        <v>0.813333333333333</v>
      </c>
    </row>
    <row r="30" customFormat="false" ht="15" hidden="false" customHeight="false" outlineLevel="0" collapsed="false">
      <c r="A30" s="16" t="n">
        <v>11</v>
      </c>
      <c r="B30" s="29" t="str">
        <f aca="false">INDEX($A$5:$A$16,MATCH(SMALL($F$5:$F$16,A30),$F$5:$F$16,0))</f>
        <v>工業 Industrials</v>
      </c>
      <c r="C30" s="32" t="n">
        <f aca="false">SMALL($F$5:$F$16,A30)</f>
        <v>0.14</v>
      </c>
      <c r="D30" s="44" t="n">
        <f aca="false">INDEX($C$5:$C$16,MATCH(C30,$F$5:$F$16,0))</f>
        <v>22.8</v>
      </c>
      <c r="E30" s="34" t="n">
        <f aca="false">INDEX($K$5:$K$16,MATCH(C30,$F$5:$F$16,0))</f>
        <v>1.39877300613497</v>
      </c>
    </row>
    <row r="31" customFormat="false" ht="15" hidden="false" customHeight="false" outlineLevel="0" collapsed="false">
      <c r="A31" s="16" t="n">
        <v>12</v>
      </c>
      <c r="B31" s="29" t="str">
        <f aca="false">INDEX($A$5:$A$16,MATCH(SMALL($F$5:$F$16,A31),$F$5:$F$16,0))</f>
        <v>能源 Energy</v>
      </c>
      <c r="C31" s="32" t="n">
        <f aca="false">SMALL($F$5:$F$16,A31)</f>
        <v>0.227272727272727</v>
      </c>
      <c r="D31" s="44" t="n">
        <f aca="false">INDEX($C$5:$C$16,MATCH(C31,$F$5:$F$16,0))</f>
        <v>13.5</v>
      </c>
      <c r="E31" s="34" t="str">
        <f aca="false">INDEX($K$5:$K$16,MATCH(C31,$F$5:$F$16,0))</f>
        <v>n/m</v>
      </c>
    </row>
    <row r="33" customFormat="false" ht="15" hidden="false" customHeight="false" outlineLevel="0" collapsed="false">
      <c r="A33" s="11" t="s">
        <v>144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customFormat="false" ht="15" hidden="false" customHeight="false" outlineLevel="0" collapsed="false">
      <c r="A34" s="27" t="s">
        <v>145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</row>
    <row r="35" customFormat="false" ht="15" hidden="false" customHeight="false" outlineLevel="0" collapsed="false">
      <c r="A35" s="27" t="s">
        <v>146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customFormat="false" ht="15" hidden="false" customHeight="false" outlineLevel="0" collapsed="false">
      <c r="A36" s="27" t="s">
        <v>147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customFormat="false" ht="15" hidden="false" customHeight="false" outlineLevel="0" collapsed="false">
      <c r="A37" s="27" t="s">
        <v>148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</row>
  </sheetData>
  <mergeCells count="4">
    <mergeCell ref="A34:R34"/>
    <mergeCell ref="A35:R35"/>
    <mergeCell ref="A36:R36"/>
    <mergeCell ref="A37:R37"/>
  </mergeCells>
  <conditionalFormatting sqref="F5:G16">
    <cfRule type="colorScale" priority="2">
      <colorScale>
        <cfvo type="num" val="-0.15"/>
        <cfvo type="num" val="0"/>
        <cfvo type="num" val="0.25"/>
        <color rgb="FF63BE7B"/>
        <color rgb="FFFFFFFF"/>
        <color rgb="FFF8696B"/>
      </colorScale>
    </cfRule>
  </conditionalFormatting>
  <conditionalFormatting sqref="P5:P16">
    <cfRule type="cellIs" priority="3" operator="equal" aboveAverage="0" equalAverage="0" bottom="0" percent="0" rank="0" text="" dxfId="0">
      <formula>"低估"</formula>
    </cfRule>
    <cfRule type="cellIs" priority="4" operator="equal" aboveAverage="0" equalAverage="0" bottom="0" percent="0" rank="0" text="" dxfId="1">
      <formula>"高估"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50"/>
    <col collapsed="false" customWidth="true" hidden="false" outlineLevel="0" max="6" min="6" style="0" width="10"/>
  </cols>
  <sheetData>
    <row r="1" customFormat="false" ht="20.85" hidden="false" customHeight="false" outlineLevel="0" collapsed="false">
      <c r="A1" s="9" t="s">
        <v>149</v>
      </c>
    </row>
    <row r="2" customFormat="false" ht="15" hidden="false" customHeight="false" outlineLevel="0" collapsed="false">
      <c r="A2" s="10" t="s">
        <v>150</v>
      </c>
    </row>
    <row r="4" customFormat="false" ht="30" hidden="false" customHeight="true" outlineLevel="0" collapsed="false">
      <c r="A4" s="15" t="s">
        <v>151</v>
      </c>
      <c r="B4" s="15" t="s">
        <v>152</v>
      </c>
      <c r="C4" s="15" t="s">
        <v>153</v>
      </c>
      <c r="D4" s="15" t="s">
        <v>154</v>
      </c>
      <c r="E4" s="15" t="s">
        <v>155</v>
      </c>
      <c r="F4" s="14" t="s">
        <v>156</v>
      </c>
    </row>
    <row r="5" customFormat="false" ht="45.75" hidden="false" customHeight="true" outlineLevel="0" collapsed="false">
      <c r="A5" s="22" t="s">
        <v>157</v>
      </c>
      <c r="B5" s="26" t="s">
        <v>158</v>
      </c>
      <c r="C5" s="26" t="s">
        <v>159</v>
      </c>
      <c r="D5" s="22" t="s">
        <v>160</v>
      </c>
      <c r="E5" s="22" t="s">
        <v>161</v>
      </c>
      <c r="F5" s="30" t="n">
        <v>3</v>
      </c>
    </row>
    <row r="6" customFormat="false" ht="45.75" hidden="false" customHeight="true" outlineLevel="0" collapsed="false">
      <c r="A6" s="45" t="s">
        <v>162</v>
      </c>
      <c r="B6" s="46" t="s">
        <v>163</v>
      </c>
      <c r="C6" s="45" t="s">
        <v>164</v>
      </c>
      <c r="D6" s="45" t="s">
        <v>165</v>
      </c>
      <c r="E6" s="46" t="s">
        <v>166</v>
      </c>
      <c r="F6" s="38" t="n">
        <v>1</v>
      </c>
    </row>
    <row r="7" customFormat="false" ht="45.75" hidden="false" customHeight="true" outlineLevel="0" collapsed="false">
      <c r="A7" s="22" t="s">
        <v>167</v>
      </c>
      <c r="B7" s="26" t="s">
        <v>168</v>
      </c>
      <c r="C7" s="26" t="s">
        <v>169</v>
      </c>
      <c r="D7" s="22" t="s">
        <v>170</v>
      </c>
      <c r="E7" s="22" t="s">
        <v>171</v>
      </c>
      <c r="F7" s="30" t="n">
        <v>5</v>
      </c>
    </row>
    <row r="8" customFormat="false" ht="45.75" hidden="false" customHeight="true" outlineLevel="0" collapsed="false">
      <c r="A8" s="45" t="s">
        <v>172</v>
      </c>
      <c r="B8" s="46" t="s">
        <v>173</v>
      </c>
      <c r="C8" s="45" t="s">
        <v>174</v>
      </c>
      <c r="D8" s="45" t="s">
        <v>175</v>
      </c>
      <c r="E8" s="45" t="s">
        <v>176</v>
      </c>
      <c r="F8" s="38" t="n">
        <v>4</v>
      </c>
    </row>
    <row r="9" customFormat="false" ht="45.75" hidden="false" customHeight="true" outlineLevel="0" collapsed="false">
      <c r="A9" s="22" t="s">
        <v>177</v>
      </c>
      <c r="B9" s="26" t="s">
        <v>178</v>
      </c>
      <c r="C9" s="26" t="s">
        <v>179</v>
      </c>
      <c r="D9" s="22" t="s">
        <v>180</v>
      </c>
      <c r="E9" s="22" t="s">
        <v>181</v>
      </c>
      <c r="F9" s="30" t="n">
        <v>3</v>
      </c>
    </row>
    <row r="10" customFormat="false" ht="45.75" hidden="false" customHeight="true" outlineLevel="0" collapsed="false">
      <c r="A10" s="46" t="s">
        <v>182</v>
      </c>
      <c r="B10" s="46" t="s">
        <v>183</v>
      </c>
      <c r="C10" s="45" t="s">
        <v>184</v>
      </c>
      <c r="D10" s="45" t="s">
        <v>185</v>
      </c>
      <c r="E10" s="46" t="s">
        <v>186</v>
      </c>
      <c r="F10" s="38" t="n">
        <v>1</v>
      </c>
    </row>
    <row r="11" customFormat="false" ht="45.75" hidden="false" customHeight="true" outlineLevel="0" collapsed="false">
      <c r="A11" s="22" t="s">
        <v>187</v>
      </c>
      <c r="B11" s="26" t="s">
        <v>188</v>
      </c>
      <c r="C11" s="26" t="s">
        <v>189</v>
      </c>
      <c r="D11" s="26" t="s">
        <v>190</v>
      </c>
      <c r="E11" s="22" t="s">
        <v>191</v>
      </c>
      <c r="F11" s="30" t="n">
        <v>5</v>
      </c>
    </row>
    <row r="12" customFormat="false" ht="45.75" hidden="false" customHeight="true" outlineLevel="0" collapsed="false">
      <c r="A12" s="45" t="s">
        <v>192</v>
      </c>
      <c r="B12" s="46" t="s">
        <v>193</v>
      </c>
      <c r="C12" s="45" t="s">
        <v>194</v>
      </c>
      <c r="D12" s="45" t="s">
        <v>195</v>
      </c>
      <c r="E12" s="45" t="s">
        <v>196</v>
      </c>
      <c r="F12" s="38" t="n">
        <v>2</v>
      </c>
    </row>
    <row r="13" customFormat="false" ht="45.75" hidden="false" customHeight="true" outlineLevel="0" collapsed="false">
      <c r="A13" s="22" t="s">
        <v>197</v>
      </c>
      <c r="B13" s="22" t="s">
        <v>198</v>
      </c>
      <c r="C13" s="26" t="s">
        <v>199</v>
      </c>
      <c r="D13" s="22" t="s">
        <v>200</v>
      </c>
      <c r="E13" s="22" t="s">
        <v>201</v>
      </c>
      <c r="F13" s="30" t="n">
        <v>2</v>
      </c>
    </row>
    <row r="14" customFormat="false" ht="45.75" hidden="false" customHeight="true" outlineLevel="0" collapsed="false">
      <c r="A14" s="45" t="s">
        <v>202</v>
      </c>
      <c r="B14" s="45" t="s">
        <v>203</v>
      </c>
      <c r="C14" s="46" t="s">
        <v>204</v>
      </c>
      <c r="D14" s="45" t="s">
        <v>205</v>
      </c>
      <c r="E14" s="45" t="s">
        <v>206</v>
      </c>
      <c r="F14" s="38" t="n">
        <v>3</v>
      </c>
    </row>
    <row r="15" customFormat="false" ht="45.75" hidden="false" customHeight="true" outlineLevel="0" collapsed="false">
      <c r="A15" s="22" t="s">
        <v>207</v>
      </c>
      <c r="B15" s="26" t="s">
        <v>208</v>
      </c>
      <c r="C15" s="22" t="s">
        <v>209</v>
      </c>
      <c r="D15" s="22" t="s">
        <v>210</v>
      </c>
      <c r="E15" s="26" t="s">
        <v>211</v>
      </c>
      <c r="F15" s="30" t="n">
        <v>3</v>
      </c>
    </row>
    <row r="16" customFormat="false" ht="45.75" hidden="false" customHeight="true" outlineLevel="0" collapsed="false">
      <c r="A16" s="45" t="s">
        <v>212</v>
      </c>
      <c r="B16" s="46" t="s">
        <v>213</v>
      </c>
      <c r="C16" s="46" t="s">
        <v>214</v>
      </c>
      <c r="D16" s="45" t="s">
        <v>215</v>
      </c>
      <c r="E16" s="45" t="s">
        <v>216</v>
      </c>
      <c r="F16" s="38" t="n">
        <v>4</v>
      </c>
    </row>
    <row r="18" customFormat="false" ht="15" hidden="false" customHeight="false" outlineLevel="0" collapsed="false">
      <c r="A18" s="11" t="s">
        <v>217</v>
      </c>
      <c r="B18" s="12"/>
      <c r="C18" s="12"/>
      <c r="D18" s="12"/>
      <c r="E18" s="12"/>
      <c r="F18" s="12"/>
    </row>
    <row r="19" customFormat="false" ht="21.75" hidden="false" customHeight="true" outlineLevel="0" collapsed="false">
      <c r="A19" s="15" t="s">
        <v>218</v>
      </c>
      <c r="B19" s="15" t="s">
        <v>219</v>
      </c>
      <c r="C19" s="15" t="s">
        <v>220</v>
      </c>
      <c r="D19" s="15" t="s">
        <v>221</v>
      </c>
    </row>
    <row r="20" customFormat="false" ht="43.5" hidden="false" customHeight="true" outlineLevel="0" collapsed="false">
      <c r="A20" s="47" t="s">
        <v>222</v>
      </c>
      <c r="B20" s="22" t="s">
        <v>223</v>
      </c>
      <c r="C20" s="35" t="s">
        <v>224</v>
      </c>
      <c r="D20" s="22" t="s">
        <v>225</v>
      </c>
      <c r="E20" s="22"/>
    </row>
    <row r="21" customFormat="false" ht="43.5" hidden="false" customHeight="true" outlineLevel="0" collapsed="false">
      <c r="A21" s="47" t="s">
        <v>226</v>
      </c>
      <c r="B21" s="22" t="s">
        <v>227</v>
      </c>
      <c r="C21" s="35" t="s">
        <v>228</v>
      </c>
      <c r="D21" s="22" t="s">
        <v>229</v>
      </c>
      <c r="E21" s="22"/>
    </row>
    <row r="22" customFormat="false" ht="43.5" hidden="false" customHeight="true" outlineLevel="0" collapsed="false">
      <c r="A22" s="47" t="s">
        <v>230</v>
      </c>
      <c r="B22" s="22" t="s">
        <v>231</v>
      </c>
      <c r="C22" s="35" t="s">
        <v>224</v>
      </c>
      <c r="D22" s="22" t="s">
        <v>232</v>
      </c>
      <c r="E22" s="22"/>
    </row>
    <row r="23" customFormat="false" ht="43.5" hidden="false" customHeight="true" outlineLevel="0" collapsed="false">
      <c r="A23" s="47" t="s">
        <v>233</v>
      </c>
      <c r="B23" s="26" t="s">
        <v>234</v>
      </c>
      <c r="C23" s="35" t="s">
        <v>224</v>
      </c>
      <c r="D23" s="22" t="s">
        <v>235</v>
      </c>
      <c r="E23" s="22"/>
    </row>
    <row r="24" customFormat="false" ht="43.5" hidden="false" customHeight="true" outlineLevel="0" collapsed="false">
      <c r="A24" s="48" t="s">
        <v>236</v>
      </c>
      <c r="B24" s="26" t="s">
        <v>237</v>
      </c>
      <c r="C24" s="35" t="s">
        <v>228</v>
      </c>
      <c r="D24" s="22" t="s">
        <v>238</v>
      </c>
      <c r="E24" s="22"/>
    </row>
    <row r="25" customFormat="false" ht="43.5" hidden="false" customHeight="true" outlineLevel="0" collapsed="false">
      <c r="A25" s="47" t="s">
        <v>239</v>
      </c>
      <c r="B25" s="26" t="s">
        <v>240</v>
      </c>
      <c r="C25" s="35" t="s">
        <v>224</v>
      </c>
      <c r="D25" s="22" t="s">
        <v>241</v>
      </c>
      <c r="E25" s="22"/>
    </row>
    <row r="26" customFormat="false" ht="43.5" hidden="false" customHeight="true" outlineLevel="0" collapsed="false">
      <c r="A26" s="47" t="s">
        <v>242</v>
      </c>
      <c r="B26" s="26" t="s">
        <v>243</v>
      </c>
      <c r="C26" s="16" t="s">
        <v>111</v>
      </c>
      <c r="D26" s="26" t="s">
        <v>111</v>
      </c>
      <c r="E26" s="26"/>
    </row>
  </sheetData>
  <mergeCells count="7">
    <mergeCell ref="D20:E20"/>
    <mergeCell ref="D21:E21"/>
    <mergeCell ref="D22:E22"/>
    <mergeCell ref="D23:E23"/>
    <mergeCell ref="D24:E24"/>
    <mergeCell ref="D25:E25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6"/>
  </cols>
  <sheetData>
    <row r="1" customFormat="false" ht="20.85" hidden="false" customHeight="false" outlineLevel="0" collapsed="false">
      <c r="A1" s="9" t="s">
        <v>244</v>
      </c>
    </row>
    <row r="2" customFormat="false" ht="15" hidden="false" customHeight="false" outlineLevel="0" collapsed="false">
      <c r="A2" s="10" t="s">
        <v>245</v>
      </c>
    </row>
    <row r="4" customFormat="false" ht="30" hidden="false" customHeight="true" outlineLevel="0" collapsed="false">
      <c r="A4" s="15" t="s">
        <v>151</v>
      </c>
      <c r="B4" s="15" t="s">
        <v>246</v>
      </c>
      <c r="C4" s="15" t="s">
        <v>247</v>
      </c>
      <c r="D4" s="15" t="s">
        <v>248</v>
      </c>
      <c r="E4" s="15" t="s">
        <v>249</v>
      </c>
    </row>
    <row r="5" customFormat="false" ht="61.5" hidden="false" customHeight="true" outlineLevel="0" collapsed="false">
      <c r="A5" s="22" t="s">
        <v>250</v>
      </c>
      <c r="B5" s="22" t="s">
        <v>251</v>
      </c>
      <c r="C5" s="22" t="s">
        <v>252</v>
      </c>
      <c r="D5" s="26" t="s">
        <v>253</v>
      </c>
      <c r="E5" s="26" t="s">
        <v>254</v>
      </c>
    </row>
    <row r="6" customFormat="false" ht="61.5" hidden="false" customHeight="true" outlineLevel="0" collapsed="false">
      <c r="A6" s="45" t="s">
        <v>255</v>
      </c>
      <c r="B6" s="45" t="s">
        <v>256</v>
      </c>
      <c r="C6" s="46" t="s">
        <v>257</v>
      </c>
      <c r="D6" s="46" t="s">
        <v>258</v>
      </c>
      <c r="E6" s="45" t="s">
        <v>259</v>
      </c>
    </row>
    <row r="7" customFormat="false" ht="61.5" hidden="false" customHeight="true" outlineLevel="0" collapsed="false">
      <c r="A7" s="22" t="s">
        <v>260</v>
      </c>
      <c r="B7" s="22" t="s">
        <v>261</v>
      </c>
      <c r="C7" s="22" t="s">
        <v>262</v>
      </c>
      <c r="D7" s="26" t="s">
        <v>263</v>
      </c>
      <c r="E7" s="26" t="s">
        <v>264</v>
      </c>
    </row>
    <row r="8" customFormat="false" ht="61.5" hidden="false" customHeight="true" outlineLevel="0" collapsed="false">
      <c r="A8" s="45" t="s">
        <v>265</v>
      </c>
      <c r="B8" s="45" t="s">
        <v>266</v>
      </c>
      <c r="C8" s="45" t="s">
        <v>267</v>
      </c>
      <c r="D8" s="46" t="s">
        <v>268</v>
      </c>
      <c r="E8" s="45" t="s">
        <v>269</v>
      </c>
    </row>
    <row r="9" customFormat="false" ht="61.5" hidden="false" customHeight="true" outlineLevel="0" collapsed="false">
      <c r="A9" s="22" t="s">
        <v>270</v>
      </c>
      <c r="B9" s="22" t="s">
        <v>271</v>
      </c>
      <c r="C9" s="22" t="s">
        <v>272</v>
      </c>
      <c r="D9" s="26" t="s">
        <v>273</v>
      </c>
      <c r="E9" s="26" t="s">
        <v>274</v>
      </c>
    </row>
    <row r="10" customFormat="false" ht="61.5" hidden="false" customHeight="true" outlineLevel="0" collapsed="false">
      <c r="A10" s="45" t="s">
        <v>275</v>
      </c>
      <c r="B10" s="45" t="s">
        <v>276</v>
      </c>
      <c r="C10" s="45" t="s">
        <v>277</v>
      </c>
      <c r="D10" s="46" t="s">
        <v>278</v>
      </c>
      <c r="E10" s="46" t="s">
        <v>279</v>
      </c>
    </row>
    <row r="11" customFormat="false" ht="61.5" hidden="false" customHeight="true" outlineLevel="0" collapsed="false">
      <c r="A11" s="22" t="s">
        <v>280</v>
      </c>
      <c r="B11" s="22" t="s">
        <v>281</v>
      </c>
      <c r="C11" s="22" t="s">
        <v>282</v>
      </c>
      <c r="D11" s="26" t="s">
        <v>283</v>
      </c>
      <c r="E11" s="26" t="s">
        <v>284</v>
      </c>
    </row>
    <row r="12" customFormat="false" ht="61.5" hidden="false" customHeight="true" outlineLevel="0" collapsed="false">
      <c r="A12" s="45" t="s">
        <v>285</v>
      </c>
      <c r="B12" s="45" t="s">
        <v>286</v>
      </c>
      <c r="C12" s="46" t="s">
        <v>287</v>
      </c>
      <c r="D12" s="46" t="s">
        <v>288</v>
      </c>
      <c r="E12" s="4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8" min="3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0.85" hidden="false" customHeight="false" outlineLevel="0" collapsed="false">
      <c r="A1" s="9" t="s">
        <v>290</v>
      </c>
    </row>
    <row r="2" customFormat="false" ht="15" hidden="false" customHeight="false" outlineLevel="0" collapsed="false">
      <c r="A2" s="10" t="s">
        <v>291</v>
      </c>
    </row>
    <row r="4" customFormat="false" ht="15" hidden="false" customHeight="false" outlineLevel="0" collapsed="false">
      <c r="A4" s="49" t="s">
        <v>292</v>
      </c>
      <c r="B4" s="12"/>
      <c r="C4" s="12"/>
      <c r="D4" s="12"/>
      <c r="E4" s="12"/>
      <c r="F4" s="12"/>
      <c r="G4" s="12"/>
      <c r="H4" s="12"/>
      <c r="I4" s="12"/>
      <c r="J4" s="12"/>
    </row>
    <row r="5" customFormat="false" ht="21.75" hidden="false" customHeight="true" outlineLevel="0" collapsed="false">
      <c r="A5" s="15" t="s">
        <v>293</v>
      </c>
      <c r="B5" s="15" t="s">
        <v>294</v>
      </c>
      <c r="C5" s="15" t="s">
        <v>295</v>
      </c>
      <c r="D5" s="15" t="s">
        <v>296</v>
      </c>
      <c r="E5" s="15" t="s">
        <v>297</v>
      </c>
      <c r="F5" s="15" t="s">
        <v>298</v>
      </c>
    </row>
    <row r="6" customFormat="false" ht="26.85" hidden="false" customHeight="true" outlineLevel="0" collapsed="false">
      <c r="A6" s="50" t="s">
        <v>299</v>
      </c>
      <c r="B6" s="30" t="s">
        <v>300</v>
      </c>
      <c r="C6" s="33" t="n">
        <v>0.034</v>
      </c>
      <c r="D6" s="33" t="n">
        <v>0.034</v>
      </c>
      <c r="E6" s="22" t="s">
        <v>301</v>
      </c>
      <c r="F6" s="51" t="s">
        <v>302</v>
      </c>
      <c r="G6" s="51"/>
      <c r="H6" s="51"/>
      <c r="I6" s="51"/>
      <c r="J6" s="51"/>
    </row>
    <row r="7" customFormat="false" ht="15" hidden="false" customHeight="true" outlineLevel="0" collapsed="false">
      <c r="A7" s="29" t="s">
        <v>303</v>
      </c>
      <c r="B7" s="30" t="s">
        <v>304</v>
      </c>
      <c r="C7" s="33" t="n">
        <v>0.029</v>
      </c>
      <c r="D7" s="33"/>
      <c r="E7" s="22" t="s">
        <v>305</v>
      </c>
      <c r="F7" s="51" t="s">
        <v>306</v>
      </c>
      <c r="G7" s="51"/>
      <c r="H7" s="51"/>
      <c r="I7" s="51"/>
      <c r="J7" s="51"/>
    </row>
    <row r="8" customFormat="false" ht="26.85" hidden="false" customHeight="true" outlineLevel="0" collapsed="false">
      <c r="A8" s="50" t="s">
        <v>307</v>
      </c>
      <c r="B8" s="30" t="s">
        <v>308</v>
      </c>
      <c r="C8" s="52" t="n">
        <v>0.046</v>
      </c>
      <c r="D8" s="33"/>
      <c r="E8" s="26" t="s">
        <v>309</v>
      </c>
      <c r="F8" s="51" t="s">
        <v>310</v>
      </c>
      <c r="G8" s="51"/>
      <c r="H8" s="51"/>
      <c r="I8" s="51"/>
      <c r="J8" s="51"/>
    </row>
    <row r="9" customFormat="false" ht="39.55" hidden="false" customHeight="true" outlineLevel="0" collapsed="false">
      <c r="A9" s="29" t="s">
        <v>311</v>
      </c>
      <c r="B9" s="30" t="s">
        <v>312</v>
      </c>
      <c r="C9" s="33" t="n">
        <v>0.04</v>
      </c>
      <c r="D9" s="33" t="n">
        <v>0.0375</v>
      </c>
      <c r="E9" s="22" t="s">
        <v>313</v>
      </c>
      <c r="F9" s="51" t="s">
        <v>314</v>
      </c>
      <c r="G9" s="51"/>
      <c r="H9" s="51"/>
      <c r="I9" s="51"/>
      <c r="J9" s="51"/>
    </row>
    <row r="10" customFormat="false" ht="26.85" hidden="false" customHeight="true" outlineLevel="0" collapsed="false">
      <c r="A10" s="29" t="s">
        <v>315</v>
      </c>
      <c r="B10" s="30" t="s">
        <v>308</v>
      </c>
      <c r="C10" s="33" t="n">
        <v>0.042</v>
      </c>
      <c r="D10" s="33" t="n">
        <v>0.041</v>
      </c>
      <c r="E10" s="22" t="s">
        <v>316</v>
      </c>
      <c r="F10" s="51" t="s">
        <v>317</v>
      </c>
      <c r="G10" s="51"/>
      <c r="H10" s="51"/>
      <c r="I10" s="51"/>
      <c r="J10" s="51"/>
    </row>
    <row r="11" customFormat="false" ht="26.85" hidden="false" customHeight="true" outlineLevel="0" collapsed="false">
      <c r="A11" s="50" t="s">
        <v>318</v>
      </c>
      <c r="B11" s="30" t="s">
        <v>319</v>
      </c>
      <c r="C11" s="53" t="n">
        <v>90.42</v>
      </c>
      <c r="D11" s="53" t="n">
        <v>69.5</v>
      </c>
      <c r="E11" s="26" t="s">
        <v>320</v>
      </c>
      <c r="F11" s="51" t="s">
        <v>321</v>
      </c>
      <c r="G11" s="51"/>
      <c r="H11" s="51"/>
      <c r="I11" s="51"/>
      <c r="J11" s="51"/>
    </row>
    <row r="12" customFormat="false" ht="15" hidden="false" customHeight="true" outlineLevel="0" collapsed="false">
      <c r="A12" s="29" t="s">
        <v>322</v>
      </c>
      <c r="B12" s="30" t="s">
        <v>323</v>
      </c>
      <c r="C12" s="54" t="n">
        <v>4520</v>
      </c>
      <c r="D12" s="54" t="n">
        <v>3291</v>
      </c>
      <c r="E12" s="22" t="s">
        <v>324</v>
      </c>
      <c r="F12" s="51" t="s">
        <v>325</v>
      </c>
      <c r="G12" s="51"/>
      <c r="H12" s="51"/>
      <c r="I12" s="51"/>
      <c r="J12" s="51"/>
    </row>
    <row r="13" customFormat="false" ht="15" hidden="false" customHeight="true" outlineLevel="0" collapsed="false">
      <c r="A13" s="50" t="s">
        <v>326</v>
      </c>
      <c r="B13" s="30" t="s">
        <v>327</v>
      </c>
      <c r="C13" s="33" t="n">
        <v>0.296</v>
      </c>
      <c r="D13" s="33" t="n">
        <v>0.267</v>
      </c>
      <c r="E13" s="22" t="s">
        <v>328</v>
      </c>
      <c r="F13" s="51" t="s">
        <v>321</v>
      </c>
      <c r="G13" s="51"/>
      <c r="H13" s="51"/>
      <c r="I13" s="51"/>
      <c r="J13" s="51"/>
    </row>
    <row r="14" customFormat="false" ht="15" hidden="false" customHeight="true" outlineLevel="0" collapsed="false">
      <c r="A14" s="50" t="s">
        <v>329</v>
      </c>
      <c r="B14" s="30" t="s">
        <v>330</v>
      </c>
      <c r="C14" s="33" t="n">
        <v>0.158</v>
      </c>
      <c r="D14" s="33"/>
      <c r="E14" s="22" t="s">
        <v>331</v>
      </c>
      <c r="F14" s="51" t="s">
        <v>321</v>
      </c>
      <c r="G14" s="51"/>
      <c r="H14" s="51"/>
      <c r="I14" s="51"/>
      <c r="J14" s="51"/>
    </row>
    <row r="15" customFormat="false" ht="15" hidden="false" customHeight="true" outlineLevel="0" collapsed="false">
      <c r="A15" s="50" t="s">
        <v>332</v>
      </c>
      <c r="B15" s="30" t="s">
        <v>333</v>
      </c>
      <c r="C15" s="53" t="n">
        <v>19.1</v>
      </c>
      <c r="D15" s="53" t="n">
        <v>20.4</v>
      </c>
      <c r="E15" s="22" t="s">
        <v>334</v>
      </c>
      <c r="F15" s="51" t="s">
        <v>321</v>
      </c>
      <c r="G15" s="51"/>
      <c r="H15" s="51"/>
      <c r="I15" s="51"/>
      <c r="J15" s="51"/>
    </row>
    <row r="17" customFormat="false" ht="15" hidden="false" customHeight="false" outlineLevel="0" collapsed="false">
      <c r="A17" s="49" t="s">
        <v>335</v>
      </c>
      <c r="B17" s="12"/>
      <c r="C17" s="12"/>
      <c r="D17" s="12"/>
      <c r="E17" s="12"/>
      <c r="F17" s="12"/>
      <c r="G17" s="12"/>
      <c r="H17" s="12"/>
      <c r="I17" s="12"/>
      <c r="J17" s="12"/>
    </row>
    <row r="18" customFormat="false" ht="30" hidden="false" customHeight="true" outlineLevel="0" collapsed="false">
      <c r="A18" s="15" t="s">
        <v>336</v>
      </c>
      <c r="B18" s="15" t="s">
        <v>337</v>
      </c>
      <c r="C18" s="15" t="s">
        <v>338</v>
      </c>
      <c r="D18" s="15" t="s">
        <v>339</v>
      </c>
      <c r="E18" s="14" t="s">
        <v>340</v>
      </c>
      <c r="F18" s="15" t="s">
        <v>341</v>
      </c>
      <c r="G18" s="15" t="s">
        <v>342</v>
      </c>
    </row>
    <row r="19" customFormat="false" ht="15" hidden="false" customHeight="false" outlineLevel="0" collapsed="false">
      <c r="A19" s="23" t="s">
        <v>343</v>
      </c>
      <c r="B19" s="55" t="n">
        <v>1</v>
      </c>
      <c r="C19" s="55" t="n">
        <v>0.8</v>
      </c>
      <c r="D19" s="55" t="n">
        <v>0.3</v>
      </c>
      <c r="E19" s="55" t="n">
        <v>1</v>
      </c>
      <c r="F19" s="55" t="n">
        <v>0.5</v>
      </c>
      <c r="G19" s="55" t="n">
        <v>0.2</v>
      </c>
    </row>
    <row r="20" customFormat="false" ht="39.75" hidden="false" customHeight="true" outlineLevel="0" collapsed="false">
      <c r="A20" s="56" t="s">
        <v>344</v>
      </c>
      <c r="B20" s="51" t="s">
        <v>345</v>
      </c>
      <c r="C20" s="51" t="s">
        <v>346</v>
      </c>
      <c r="D20" s="57" t="s">
        <v>347</v>
      </c>
      <c r="E20" s="51" t="s">
        <v>348</v>
      </c>
      <c r="F20" s="51" t="s">
        <v>349</v>
      </c>
      <c r="G20" s="57" t="s">
        <v>350</v>
      </c>
    </row>
    <row r="22" customFormat="false" ht="15" hidden="false" customHeight="false" outlineLevel="0" collapsed="false">
      <c r="A22" s="49" t="s">
        <v>351</v>
      </c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30" hidden="false" customHeight="true" outlineLevel="0" collapsed="false">
      <c r="A23" s="15" t="s">
        <v>29</v>
      </c>
      <c r="B23" s="15" t="s">
        <v>337</v>
      </c>
      <c r="C23" s="15" t="s">
        <v>338</v>
      </c>
      <c r="D23" s="15" t="s">
        <v>339</v>
      </c>
      <c r="E23" s="14" t="s">
        <v>340</v>
      </c>
      <c r="F23" s="15" t="s">
        <v>341</v>
      </c>
      <c r="G23" s="15" t="s">
        <v>342</v>
      </c>
      <c r="H23" s="15" t="s">
        <v>352</v>
      </c>
      <c r="I23" s="15" t="s">
        <v>353</v>
      </c>
      <c r="J23" s="15" t="s">
        <v>354</v>
      </c>
    </row>
    <row r="24" customFormat="false" ht="30" hidden="false" customHeight="true" outlineLevel="0" collapsed="false">
      <c r="A24" s="17" t="s">
        <v>41</v>
      </c>
      <c r="B24" s="58" t="n">
        <v>1</v>
      </c>
      <c r="C24" s="58" t="n">
        <v>0</v>
      </c>
      <c r="D24" s="58" t="n">
        <v>-1</v>
      </c>
      <c r="E24" s="58" t="n">
        <v>0</v>
      </c>
      <c r="F24" s="58" t="n">
        <v>0</v>
      </c>
      <c r="G24" s="58" t="n">
        <v>0</v>
      </c>
      <c r="H24" s="59" t="n">
        <f aca="false">SUMPRODUCT(B24:G24,$B$19:$G$19)</f>
        <v>0.7</v>
      </c>
      <c r="I24" s="60" t="n">
        <f aca="false">MAX(0,MIN(5,ROUND(2.5+H24,0)))</f>
        <v>3</v>
      </c>
      <c r="J24" s="22" t="s">
        <v>355</v>
      </c>
    </row>
    <row r="25" customFormat="false" ht="30" hidden="false" customHeight="true" outlineLevel="0" collapsed="false">
      <c r="A25" s="61" t="s">
        <v>50</v>
      </c>
      <c r="B25" s="62" t="n">
        <v>1</v>
      </c>
      <c r="C25" s="62" t="n">
        <v>0</v>
      </c>
      <c r="D25" s="62" t="n">
        <v>-2</v>
      </c>
      <c r="E25" s="62" t="n">
        <v>0</v>
      </c>
      <c r="F25" s="62" t="n">
        <v>1</v>
      </c>
      <c r="G25" s="62" t="n">
        <v>0</v>
      </c>
      <c r="H25" s="63" t="n">
        <f aca="false">SUMPRODUCT(B25:G25,$B$19:$G$19)</f>
        <v>0.9</v>
      </c>
      <c r="I25" s="64" t="n">
        <f aca="false">MAX(0,MIN(5,ROUND(2.5+H25,0)))</f>
        <v>3</v>
      </c>
      <c r="J25" s="22" t="s">
        <v>356</v>
      </c>
    </row>
    <row r="26" customFormat="false" ht="30" hidden="false" customHeight="true" outlineLevel="0" collapsed="false">
      <c r="A26" s="17" t="s">
        <v>44</v>
      </c>
      <c r="B26" s="58" t="n">
        <v>0</v>
      </c>
      <c r="C26" s="58" t="n">
        <v>1</v>
      </c>
      <c r="D26" s="58" t="n">
        <v>-1</v>
      </c>
      <c r="E26" s="58" t="n">
        <v>0</v>
      </c>
      <c r="F26" s="58" t="n">
        <v>-1</v>
      </c>
      <c r="G26" s="58" t="n">
        <v>-1</v>
      </c>
      <c r="H26" s="59" t="n">
        <f aca="false">SUMPRODUCT(B26:G26,$B$19:$G$19)</f>
        <v>-0.2</v>
      </c>
      <c r="I26" s="60" t="n">
        <f aca="false">MAX(0,MIN(5,ROUND(2.5+H26,0)))</f>
        <v>2</v>
      </c>
      <c r="J26" s="22" t="s">
        <v>357</v>
      </c>
    </row>
    <row r="27" customFormat="false" ht="30" hidden="false" customHeight="true" outlineLevel="0" collapsed="false">
      <c r="A27" s="61" t="s">
        <v>53</v>
      </c>
      <c r="B27" s="62" t="n">
        <v>-2</v>
      </c>
      <c r="C27" s="62" t="n">
        <v>-1</v>
      </c>
      <c r="D27" s="62" t="n">
        <v>0</v>
      </c>
      <c r="E27" s="62" t="n">
        <v>2</v>
      </c>
      <c r="F27" s="62" t="n">
        <v>-1</v>
      </c>
      <c r="G27" s="62" t="n">
        <v>0</v>
      </c>
      <c r="H27" s="63" t="n">
        <f aca="false">SUMPRODUCT(B27:G27,$B$19:$G$19)</f>
        <v>-1.3</v>
      </c>
      <c r="I27" s="64" t="n">
        <f aca="false">MAX(0,MIN(5,ROUND(2.5+H27,0)))</f>
        <v>1</v>
      </c>
      <c r="J27" s="22" t="s">
        <v>358</v>
      </c>
    </row>
    <row r="28" customFormat="false" ht="30" hidden="false" customHeight="true" outlineLevel="0" collapsed="false">
      <c r="A28" s="17" t="s">
        <v>359</v>
      </c>
      <c r="B28" s="58" t="n">
        <v>-1</v>
      </c>
      <c r="C28" s="58" t="n">
        <v>1</v>
      </c>
      <c r="D28" s="58" t="n">
        <v>-1</v>
      </c>
      <c r="E28" s="58" t="n">
        <v>2</v>
      </c>
      <c r="F28" s="58" t="n">
        <v>0</v>
      </c>
      <c r="G28" s="58" t="n">
        <v>0</v>
      </c>
      <c r="H28" s="59" t="n">
        <f aca="false">SUMPRODUCT(B28:G28,$B$19:$G$19)</f>
        <v>1.5</v>
      </c>
      <c r="I28" s="60" t="n">
        <f aca="false">MAX(0,MIN(5,ROUND(2.5+H28,0)))</f>
        <v>4</v>
      </c>
      <c r="J28" s="22" t="s">
        <v>360</v>
      </c>
    </row>
    <row r="29" customFormat="false" ht="30" hidden="false" customHeight="true" outlineLevel="0" collapsed="false">
      <c r="A29" s="61" t="s">
        <v>361</v>
      </c>
      <c r="B29" s="62" t="n">
        <v>-1</v>
      </c>
      <c r="C29" s="62" t="n">
        <v>0</v>
      </c>
      <c r="D29" s="62" t="n">
        <v>0</v>
      </c>
      <c r="E29" s="62" t="n">
        <v>2</v>
      </c>
      <c r="F29" s="62" t="n">
        <v>0</v>
      </c>
      <c r="G29" s="62" t="n">
        <v>0</v>
      </c>
      <c r="H29" s="63" t="n">
        <f aca="false">SUMPRODUCT(B29:G29,$B$19:$G$19)</f>
        <v>1</v>
      </c>
      <c r="I29" s="64" t="n">
        <f aca="false">MAX(0,MIN(5,ROUND(2.5+H29,0)))</f>
        <v>4</v>
      </c>
      <c r="J29" s="26" t="s">
        <v>362</v>
      </c>
    </row>
    <row r="30" customFormat="false" ht="30" hidden="false" customHeight="true" outlineLevel="0" collapsed="false">
      <c r="A30" s="17" t="s">
        <v>363</v>
      </c>
      <c r="B30" s="58" t="n">
        <v>-1</v>
      </c>
      <c r="C30" s="58" t="n">
        <v>0</v>
      </c>
      <c r="D30" s="58" t="n">
        <v>0</v>
      </c>
      <c r="E30" s="58" t="n">
        <v>0</v>
      </c>
      <c r="F30" s="58" t="n">
        <v>0</v>
      </c>
      <c r="G30" s="58" t="n">
        <v>0</v>
      </c>
      <c r="H30" s="59" t="n">
        <f aca="false">SUMPRODUCT(B30:G30,$B$19:$G$19)</f>
        <v>-1</v>
      </c>
      <c r="I30" s="60" t="n">
        <f aca="false">MAX(0,MIN(5,ROUND(2.5+H30,0)))</f>
        <v>2</v>
      </c>
      <c r="J30" s="22" t="s">
        <v>364</v>
      </c>
    </row>
    <row r="31" customFormat="false" ht="30" hidden="false" customHeight="true" outlineLevel="0" collapsed="false">
      <c r="A31" s="61" t="s">
        <v>47</v>
      </c>
      <c r="B31" s="62" t="n">
        <v>-1</v>
      </c>
      <c r="C31" s="62" t="n">
        <v>1</v>
      </c>
      <c r="D31" s="62" t="n">
        <v>-1</v>
      </c>
      <c r="E31" s="62" t="n">
        <v>1</v>
      </c>
      <c r="F31" s="62" t="n">
        <v>-1</v>
      </c>
      <c r="G31" s="62" t="n">
        <v>0</v>
      </c>
      <c r="H31" s="63" t="n">
        <f aca="false">SUMPRODUCT(B31:G31,$B$19:$G$19)</f>
        <v>0</v>
      </c>
      <c r="I31" s="64" t="n">
        <f aca="false">MAX(0,MIN(5,ROUND(2.5+H31,0)))</f>
        <v>3</v>
      </c>
      <c r="J31" s="22" t="s">
        <v>365</v>
      </c>
    </row>
    <row r="32" customFormat="false" ht="30" hidden="false" customHeight="true" outlineLevel="0" collapsed="false">
      <c r="A32" s="17" t="s">
        <v>366</v>
      </c>
      <c r="B32" s="58" t="n">
        <v>-1</v>
      </c>
      <c r="C32" s="58" t="n">
        <v>0</v>
      </c>
      <c r="D32" s="58" t="n">
        <v>0</v>
      </c>
      <c r="E32" s="58" t="n">
        <v>2</v>
      </c>
      <c r="F32" s="58" t="n">
        <v>0</v>
      </c>
      <c r="G32" s="58" t="n">
        <v>-1</v>
      </c>
      <c r="H32" s="59" t="n">
        <f aca="false">SUMPRODUCT(B32:G32,$B$19:$G$19)</f>
        <v>0.8</v>
      </c>
      <c r="I32" s="60" t="n">
        <f aca="false">MAX(0,MIN(5,ROUND(2.5+H32,0)))</f>
        <v>3</v>
      </c>
      <c r="J32" s="26" t="s">
        <v>367</v>
      </c>
    </row>
    <row r="33" customFormat="false" ht="30" hidden="false" customHeight="true" outlineLevel="0" collapsed="false">
      <c r="A33" s="61" t="s">
        <v>38</v>
      </c>
      <c r="B33" s="62" t="n">
        <v>0</v>
      </c>
      <c r="C33" s="62" t="n">
        <v>1</v>
      </c>
      <c r="D33" s="62" t="n">
        <v>-1</v>
      </c>
      <c r="E33" s="62" t="n">
        <v>1</v>
      </c>
      <c r="F33" s="62" t="n">
        <v>0</v>
      </c>
      <c r="G33" s="62" t="n">
        <v>-1</v>
      </c>
      <c r="H33" s="63" t="n">
        <f aca="false">SUMPRODUCT(B33:G33,$B$19:$G$19)</f>
        <v>1.3</v>
      </c>
      <c r="I33" s="64" t="n">
        <f aca="false">MAX(0,MIN(5,ROUND(2.5+H33,0)))</f>
        <v>4</v>
      </c>
      <c r="J33" s="22" t="s">
        <v>368</v>
      </c>
    </row>
    <row r="34" customFormat="false" ht="30" hidden="false" customHeight="true" outlineLevel="0" collapsed="false">
      <c r="A34" s="17" t="s">
        <v>369</v>
      </c>
      <c r="B34" s="58" t="n">
        <v>-1</v>
      </c>
      <c r="C34" s="58" t="n">
        <v>2</v>
      </c>
      <c r="D34" s="58" t="n">
        <v>1</v>
      </c>
      <c r="E34" s="58" t="n">
        <v>0</v>
      </c>
      <c r="F34" s="58" t="n">
        <v>0</v>
      </c>
      <c r="G34" s="58" t="n">
        <v>-2</v>
      </c>
      <c r="H34" s="59" t="n">
        <f aca="false">SUMPRODUCT(B34:G34,$B$19:$G$19)</f>
        <v>0.5</v>
      </c>
      <c r="I34" s="60" t="n">
        <f aca="false">MAX(0,MIN(5,ROUND(2.5+H34,0)))</f>
        <v>3</v>
      </c>
      <c r="J34" s="22" t="s">
        <v>370</v>
      </c>
    </row>
    <row r="35" customFormat="false" ht="30" hidden="false" customHeight="true" outlineLevel="0" collapsed="false">
      <c r="A35" s="61" t="s">
        <v>371</v>
      </c>
      <c r="B35" s="62" t="n">
        <v>0</v>
      </c>
      <c r="C35" s="62" t="n">
        <v>1</v>
      </c>
      <c r="D35" s="62" t="n">
        <v>-2</v>
      </c>
      <c r="E35" s="62" t="n">
        <v>2</v>
      </c>
      <c r="F35" s="62" t="n">
        <v>-1</v>
      </c>
      <c r="G35" s="62" t="n">
        <v>-1</v>
      </c>
      <c r="H35" s="63" t="n">
        <f aca="false">SUMPRODUCT(B35:G35,$B$19:$G$19)</f>
        <v>1.5</v>
      </c>
      <c r="I35" s="64" t="n">
        <f aca="false">MAX(0,MIN(5,ROUND(2.5+H35,0)))</f>
        <v>4</v>
      </c>
      <c r="J35" s="22" t="s">
        <v>372</v>
      </c>
    </row>
  </sheetData>
  <mergeCells count="10">
    <mergeCell ref="F6:J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</mergeCells>
  <conditionalFormatting sqref="B24:G35">
    <cfRule type="colorScale" priority="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8" min="13" style="0" width="9"/>
    <col collapsed="false" customWidth="true" hidden="false" outlineLevel="0" max="19" min="19" style="0" width="8"/>
    <col collapsed="false" customWidth="true" hidden="false" outlineLevel="0" max="22" min="20" style="0" width="9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6" min="25" style="0" width="9"/>
    <col collapsed="false" customWidth="true" hidden="false" outlineLevel="0" max="27" min="27" style="0" width="8"/>
    <col collapsed="false" customWidth="true" hidden="false" outlineLevel="0" max="32" min="28" style="0" width="7"/>
  </cols>
  <sheetData>
    <row r="1" customFormat="false" ht="20.85" hidden="false" customHeight="false" outlineLevel="0" collapsed="false">
      <c r="A1" s="9" t="s">
        <v>373</v>
      </c>
    </row>
    <row r="2" customFormat="false" ht="15" hidden="false" customHeight="false" outlineLevel="0" collapsed="false">
      <c r="A2" s="10" t="s">
        <v>374</v>
      </c>
    </row>
    <row r="4" customFormat="false" ht="39.75" hidden="false" customHeight="true" outlineLevel="0" collapsed="false">
      <c r="A4" s="14" t="s">
        <v>30</v>
      </c>
      <c r="B4" s="15" t="s">
        <v>29</v>
      </c>
      <c r="C4" s="15" t="s">
        <v>72</v>
      </c>
      <c r="D4" s="15" t="s">
        <v>375</v>
      </c>
      <c r="E4" s="15" t="s">
        <v>376</v>
      </c>
      <c r="F4" s="15" t="s">
        <v>377</v>
      </c>
      <c r="G4" s="15" t="s">
        <v>378</v>
      </c>
      <c r="H4" s="14" t="s">
        <v>379</v>
      </c>
      <c r="I4" s="14" t="s">
        <v>380</v>
      </c>
      <c r="J4" s="14" t="s">
        <v>74</v>
      </c>
      <c r="K4" s="14" t="s">
        <v>381</v>
      </c>
      <c r="L4" s="15" t="s">
        <v>382</v>
      </c>
      <c r="M4" s="14" t="s">
        <v>383</v>
      </c>
      <c r="N4" s="14" t="s">
        <v>384</v>
      </c>
      <c r="O4" s="15" t="s">
        <v>385</v>
      </c>
      <c r="P4" s="14" t="s">
        <v>386</v>
      </c>
      <c r="Q4" s="15" t="s">
        <v>387</v>
      </c>
      <c r="R4" s="15" t="s">
        <v>388</v>
      </c>
      <c r="S4" s="15" t="s">
        <v>389</v>
      </c>
      <c r="T4" s="15" t="s">
        <v>390</v>
      </c>
      <c r="U4" s="15" t="s">
        <v>391</v>
      </c>
      <c r="V4" s="15" t="s">
        <v>392</v>
      </c>
      <c r="W4" s="15" t="s">
        <v>393</v>
      </c>
      <c r="X4" s="15" t="s">
        <v>394</v>
      </c>
      <c r="Y4" s="15" t="s">
        <v>395</v>
      </c>
      <c r="Z4" s="15" t="s">
        <v>396</v>
      </c>
      <c r="AA4" s="14" t="s">
        <v>397</v>
      </c>
      <c r="AB4" s="14" t="s">
        <v>398</v>
      </c>
      <c r="AC4" s="14" t="s">
        <v>399</v>
      </c>
      <c r="AD4" s="14" t="s">
        <v>400</v>
      </c>
      <c r="AE4" s="14" t="s">
        <v>401</v>
      </c>
      <c r="AF4" s="15" t="s">
        <v>402</v>
      </c>
    </row>
    <row r="5" customFormat="false" ht="15" hidden="false" customHeight="false" outlineLevel="0" collapsed="false">
      <c r="A5" s="17" t="s">
        <v>41</v>
      </c>
      <c r="B5" s="50" t="s">
        <v>40</v>
      </c>
      <c r="C5" s="35" t="s">
        <v>403</v>
      </c>
      <c r="D5" s="22" t="s">
        <v>404</v>
      </c>
      <c r="E5" s="65" t="n">
        <v>515.62</v>
      </c>
      <c r="F5" s="66" t="n">
        <v>1112.126</v>
      </c>
      <c r="G5" s="34" t="n">
        <f aca="false">F5/E5</f>
        <v>2.15687133935844</v>
      </c>
      <c r="H5" s="31" t="n">
        <v>12.97</v>
      </c>
      <c r="I5" s="65" t="n">
        <v>22.163</v>
      </c>
      <c r="J5" s="44" t="n">
        <f aca="false">E5/I5</f>
        <v>23.2649009610612</v>
      </c>
      <c r="K5" s="31" t="n">
        <v>1.49</v>
      </c>
      <c r="L5" s="33" t="n">
        <v>0</v>
      </c>
      <c r="M5" s="21" t="n">
        <f aca="false">Financials!D8</f>
        <v>0.098</v>
      </c>
      <c r="N5" s="21" t="n">
        <f aca="false">Financials!J8</f>
        <v>0.1148</v>
      </c>
      <c r="O5" s="21" t="n">
        <f aca="false">Financials!J5</f>
        <v>0.08627659972798</v>
      </c>
      <c r="P5" s="21" t="n">
        <f aca="false">Financials!J7</f>
        <v>0.117887219962688</v>
      </c>
      <c r="Q5" s="21" t="n">
        <f aca="false">Financials!D6/Financials!D5</f>
        <v>0.180290972528833</v>
      </c>
      <c r="R5" s="21" t="n">
        <f aca="false">Financials!G12</f>
        <v>0.411129820909591</v>
      </c>
      <c r="S5" s="16" t="s">
        <v>381</v>
      </c>
      <c r="T5" s="31" t="n">
        <v>1.49</v>
      </c>
      <c r="U5" s="31" t="n">
        <v>1.38</v>
      </c>
      <c r="V5" s="31" t="n">
        <v>1.46</v>
      </c>
      <c r="W5" s="31" t="n">
        <v>1.59</v>
      </c>
      <c r="X5" s="33" t="n">
        <v>0.441</v>
      </c>
      <c r="Y5" s="30" t="s">
        <v>405</v>
      </c>
      <c r="Z5" s="31" t="n">
        <v>1.48</v>
      </c>
      <c r="AA5" s="33" t="n">
        <v>0.0258</v>
      </c>
      <c r="AB5" s="67" t="n">
        <v>2</v>
      </c>
      <c r="AC5" s="67" t="n">
        <v>0</v>
      </c>
      <c r="AD5" s="67" t="n">
        <v>2</v>
      </c>
      <c r="AE5" s="67" t="n">
        <v>0</v>
      </c>
      <c r="AF5" s="67" t="n">
        <v>4</v>
      </c>
    </row>
    <row r="6" customFormat="false" ht="15" hidden="false" customHeight="false" outlineLevel="0" collapsed="false">
      <c r="A6" s="17" t="s">
        <v>50</v>
      </c>
      <c r="B6" s="50" t="s">
        <v>49</v>
      </c>
      <c r="C6" s="35" t="s">
        <v>403</v>
      </c>
      <c r="D6" s="22" t="s">
        <v>406</v>
      </c>
      <c r="E6" s="68" t="n">
        <v>332.99</v>
      </c>
      <c r="F6" s="69" t="n">
        <v>885.149</v>
      </c>
      <c r="G6" s="42" t="n">
        <f aca="false">F6/E6</f>
        <v>2.65818493047839</v>
      </c>
      <c r="H6" s="39" t="n">
        <v>13.91</v>
      </c>
      <c r="I6" s="68" t="n">
        <v>24.46</v>
      </c>
      <c r="J6" s="70" t="n">
        <f aca="false">E6/I6</f>
        <v>13.613654946852</v>
      </c>
      <c r="K6" s="39" t="n">
        <v>2.5</v>
      </c>
      <c r="L6" s="41" t="n">
        <v>0.0185</v>
      </c>
      <c r="M6" s="71" t="n">
        <f aca="false">Financials!D16</f>
        <v>0.1669</v>
      </c>
      <c r="N6" s="71" t="n">
        <f aca="false">Financials!J16</f>
        <v>0.1675</v>
      </c>
      <c r="O6" s="71" t="n">
        <f aca="false">Financials!J13</f>
        <v>0.104238984568003</v>
      </c>
      <c r="P6" s="71" t="n">
        <f aca="false">Financials!J15</f>
        <v>0.176549548389425</v>
      </c>
      <c r="Q6" s="71" t="n">
        <f aca="false">Financials!D14/Financials!D13</f>
        <v>0.330971557642583</v>
      </c>
      <c r="R6" s="71" t="n">
        <f aca="false">Financials!G17</f>
        <v>0.918091256299577</v>
      </c>
      <c r="S6" s="72" t="s">
        <v>407</v>
      </c>
      <c r="T6" s="39" t="n">
        <v>13.91</v>
      </c>
      <c r="U6" s="39" t="n">
        <v>11.37</v>
      </c>
      <c r="V6" s="39" t="n">
        <v>13.07</v>
      </c>
      <c r="W6" s="39" t="n">
        <v>14.84</v>
      </c>
      <c r="X6" s="41" t="n">
        <v>0.4043</v>
      </c>
      <c r="Y6" s="38" t="s">
        <v>408</v>
      </c>
      <c r="Z6" s="39" t="n">
        <v>11.99</v>
      </c>
      <c r="AA6" s="41" t="n">
        <v>0.0533</v>
      </c>
      <c r="AB6" s="73" t="n">
        <v>9</v>
      </c>
      <c r="AC6" s="73" t="n">
        <v>4</v>
      </c>
      <c r="AD6" s="73" t="n">
        <v>12</v>
      </c>
      <c r="AE6" s="73" t="n">
        <v>0</v>
      </c>
      <c r="AF6" s="73" t="n">
        <v>26</v>
      </c>
    </row>
    <row r="7" customFormat="false" ht="15" hidden="false" customHeight="false" outlineLevel="0" collapsed="false">
      <c r="A7" s="17" t="s">
        <v>44</v>
      </c>
      <c r="B7" s="50" t="s">
        <v>43</v>
      </c>
      <c r="C7" s="35" t="s">
        <v>403</v>
      </c>
      <c r="D7" s="22" t="s">
        <v>409</v>
      </c>
      <c r="E7" s="65" t="n">
        <v>385.45</v>
      </c>
      <c r="F7" s="66" t="n">
        <v>741.555</v>
      </c>
      <c r="G7" s="34" t="n">
        <f aca="false">F7/E7</f>
        <v>1.923868205993</v>
      </c>
      <c r="H7" s="31" t="n">
        <v>33.11</v>
      </c>
      <c r="I7" s="65" t="n">
        <v>14.493</v>
      </c>
      <c r="J7" s="44" t="n">
        <f aca="false">E7/I7</f>
        <v>26.5955978748361</v>
      </c>
      <c r="K7" s="31" t="n">
        <v>21.39</v>
      </c>
      <c r="L7" s="33" t="n">
        <v>0.007</v>
      </c>
      <c r="M7" s="21" t="n">
        <f aca="false">Financials!D21</f>
        <v>0.5275</v>
      </c>
      <c r="N7" s="21" t="n">
        <f aca="false">Financials!J21</f>
        <v>0.4653</v>
      </c>
      <c r="O7" s="21" t="n">
        <f aca="false">Financials!J18</f>
        <v>0.128593676004242</v>
      </c>
      <c r="P7" s="21" t="n">
        <f aca="false">Financials!J20</f>
        <v>0.158399236280308</v>
      </c>
      <c r="Q7" s="21" t="n">
        <f aca="false">Financials!D19/Financials!D18</f>
        <v>0.496325</v>
      </c>
      <c r="R7" s="21" t="n">
        <f aca="false">Financials!G25</f>
        <v>0.619490700312165</v>
      </c>
      <c r="S7" s="16" t="s">
        <v>407</v>
      </c>
      <c r="T7" s="31" t="n">
        <v>33.11</v>
      </c>
      <c r="U7" s="31" t="n">
        <v>29.01</v>
      </c>
      <c r="V7" s="31" t="n">
        <v>31.33</v>
      </c>
      <c r="W7" s="31" t="n">
        <v>33.13</v>
      </c>
      <c r="X7" s="33" t="n">
        <v>0.2015</v>
      </c>
      <c r="Y7" s="30" t="s">
        <v>408</v>
      </c>
      <c r="Z7" s="31" t="n">
        <v>14.11</v>
      </c>
      <c r="AA7" s="33" t="n">
        <v>0.1057</v>
      </c>
      <c r="AB7" s="67" t="n">
        <v>27</v>
      </c>
      <c r="AC7" s="67" t="n">
        <v>9</v>
      </c>
      <c r="AD7" s="67" t="n">
        <v>3</v>
      </c>
      <c r="AE7" s="67" t="n">
        <v>1</v>
      </c>
      <c r="AF7" s="67" t="n">
        <v>41</v>
      </c>
    </row>
    <row r="8" customFormat="false" ht="26.85" hidden="false" customHeight="false" outlineLevel="0" collapsed="false">
      <c r="A8" s="17" t="s">
        <v>53</v>
      </c>
      <c r="B8" s="50" t="s">
        <v>52</v>
      </c>
      <c r="C8" s="35" t="s">
        <v>410</v>
      </c>
      <c r="D8" s="22" t="s">
        <v>411</v>
      </c>
      <c r="E8" s="68" t="n">
        <v>77.38</v>
      </c>
      <c r="F8" s="69" t="n">
        <v>161.413</v>
      </c>
      <c r="G8" s="42" t="n">
        <f aca="false">F8/E8</f>
        <v>2.08597828896356</v>
      </c>
      <c r="H8" s="39" t="n">
        <v>17.36</v>
      </c>
      <c r="I8" s="68" t="n">
        <v>4.155</v>
      </c>
      <c r="J8" s="70" t="n">
        <f aca="false">E8/I8</f>
        <v>18.6233453670277</v>
      </c>
      <c r="K8" s="39" t="n">
        <v>2.83</v>
      </c>
      <c r="L8" s="41" t="n">
        <v>0.0315</v>
      </c>
      <c r="M8" s="71" t="n">
        <f aca="false">Financials!D29</f>
        <v>0.1306</v>
      </c>
      <c r="N8" s="71" t="n">
        <f aca="false">Financials!J29</f>
        <v>0.1294</v>
      </c>
      <c r="O8" s="71" t="n">
        <f aca="false">Financials!J26</f>
        <v>0.0877976626142119</v>
      </c>
      <c r="P8" s="71" t="n">
        <f aca="false">Financials!J28</f>
        <v>0.173952283426718</v>
      </c>
      <c r="Q8" s="71" t="n">
        <f aca="false">Financials!D27/Financials!D26</f>
        <v>0.249343353275938</v>
      </c>
      <c r="R8" s="71" t="n">
        <f aca="false">Financials!G31</f>
        <v>0.687482665087133</v>
      </c>
      <c r="S8" s="72" t="s">
        <v>407</v>
      </c>
      <c r="T8" s="39" t="n">
        <v>17.36</v>
      </c>
      <c r="U8" s="39" t="n">
        <v>19.15</v>
      </c>
      <c r="V8" s="39" t="n">
        <v>25.22</v>
      </c>
      <c r="W8" s="39" t="n">
        <v>42.59</v>
      </c>
      <c r="X8" s="41" t="n">
        <v>0.8666</v>
      </c>
      <c r="Y8" s="38" t="s">
        <v>405</v>
      </c>
      <c r="Z8" s="39" t="n">
        <v>18.73</v>
      </c>
      <c r="AA8" s="41" t="n">
        <v>-0.0151</v>
      </c>
      <c r="AB8" s="73" t="n">
        <v>11</v>
      </c>
      <c r="AC8" s="73" t="n">
        <v>3</v>
      </c>
      <c r="AD8" s="73" t="n">
        <v>6</v>
      </c>
      <c r="AE8" s="73" t="n">
        <v>1</v>
      </c>
      <c r="AF8" s="73" t="n">
        <v>22</v>
      </c>
    </row>
    <row r="9" customFormat="false" ht="15" hidden="false" customHeight="false" outlineLevel="0" collapsed="false">
      <c r="A9" s="17" t="s">
        <v>359</v>
      </c>
      <c r="B9" s="50" t="s">
        <v>412</v>
      </c>
      <c r="C9" s="35" t="s">
        <v>410</v>
      </c>
      <c r="D9" s="22" t="s">
        <v>413</v>
      </c>
      <c r="E9" s="65" t="n">
        <v>298.07</v>
      </c>
      <c r="F9" s="66" t="n">
        <v>105.608</v>
      </c>
      <c r="G9" s="34" t="n">
        <f aca="false">F9/E9</f>
        <v>0.354306035495018</v>
      </c>
      <c r="H9" s="31" t="n">
        <v>30.48</v>
      </c>
      <c r="I9" s="65" t="n">
        <v>12.041</v>
      </c>
      <c r="J9" s="44" t="n">
        <f aca="false">E9/I9</f>
        <v>24.7545884893281</v>
      </c>
      <c r="K9" s="31" t="n">
        <v>3.3</v>
      </c>
      <c r="L9" s="33" t="n">
        <v>0.0056</v>
      </c>
      <c r="M9" s="21" t="n">
        <f aca="false">Financials!D35</f>
        <v>0.1675</v>
      </c>
      <c r="N9" s="21" t="n">
        <f aca="false">Financials!J35</f>
        <v>0.11896</v>
      </c>
      <c r="O9" s="21" t="n">
        <f aca="false">Financials!J32</f>
        <v>0.0772165849838065</v>
      </c>
      <c r="P9" s="21" t="str">
        <f aca="false">Financials!J34</f>
        <v>n/m</v>
      </c>
      <c r="Q9" s="21" t="n">
        <f aca="false">Financials!D33/Financials!D32</f>
        <v>0.0908236399953002</v>
      </c>
      <c r="R9" s="21" t="n">
        <f aca="false">Financials!G37</f>
        <v>0.740554420164544</v>
      </c>
      <c r="S9" s="16" t="s">
        <v>407</v>
      </c>
      <c r="T9" s="31" t="n">
        <v>30.48</v>
      </c>
      <c r="U9" s="31" t="n">
        <v>23.77</v>
      </c>
      <c r="V9" s="31" t="n">
        <v>28.93</v>
      </c>
      <c r="W9" s="31" t="n">
        <v>37.11</v>
      </c>
      <c r="X9" s="33" t="n">
        <v>0.4707</v>
      </c>
      <c r="Y9" s="30" t="s">
        <v>408</v>
      </c>
      <c r="Z9" s="31" t="n">
        <v>18.73</v>
      </c>
      <c r="AA9" s="33" t="n">
        <v>-0.1525</v>
      </c>
      <c r="AB9" s="67" t="n">
        <v>13</v>
      </c>
      <c r="AC9" s="67" t="n">
        <v>6</v>
      </c>
      <c r="AD9" s="67" t="n">
        <v>3</v>
      </c>
      <c r="AE9" s="67" t="n">
        <v>0</v>
      </c>
      <c r="AF9" s="67" t="n">
        <v>22</v>
      </c>
    </row>
    <row r="10" customFormat="false" ht="15" hidden="false" customHeight="false" outlineLevel="0" collapsed="false">
      <c r="A10" s="17" t="s">
        <v>361</v>
      </c>
      <c r="B10" s="50" t="s">
        <v>414</v>
      </c>
      <c r="C10" s="35" t="s">
        <v>410</v>
      </c>
      <c r="D10" s="22" t="s">
        <v>415</v>
      </c>
      <c r="E10" s="68" t="n">
        <v>86.17</v>
      </c>
      <c r="F10" s="69" t="n">
        <v>99.127</v>
      </c>
      <c r="G10" s="42" t="n">
        <f aca="false">F10/E10</f>
        <v>1.15036555645816</v>
      </c>
      <c r="H10" s="39" t="n">
        <v>21.28</v>
      </c>
      <c r="I10" s="68" t="n">
        <v>4.633</v>
      </c>
      <c r="J10" s="70" t="n">
        <f aca="false">E10/I10</f>
        <v>18.5991797971077</v>
      </c>
      <c r="K10" s="39" t="n">
        <v>2.51</v>
      </c>
      <c r="L10" s="41" t="n">
        <v>0.0348</v>
      </c>
      <c r="M10" s="71" t="n">
        <f aca="false">Financials!D41</f>
        <v>0.1254</v>
      </c>
      <c r="N10" s="71" t="n">
        <f aca="false">Financials!J41</f>
        <v>0.11934</v>
      </c>
      <c r="O10" s="71" t="n">
        <f aca="false">Financials!J38</f>
        <v>0.0772110289984322</v>
      </c>
      <c r="P10" s="71" t="n">
        <f aca="false">Financials!J40</f>
        <v>0.059945875694404</v>
      </c>
      <c r="Q10" s="71" t="n">
        <f aca="false">Financials!D39/Financials!D38</f>
        <v>0.146888640747132</v>
      </c>
      <c r="R10" s="71" t="n">
        <f aca="false">Financials!G43</f>
        <v>0.750404572309273</v>
      </c>
      <c r="S10" s="72" t="s">
        <v>407</v>
      </c>
      <c r="T10" s="39" t="n">
        <v>21.28</v>
      </c>
      <c r="U10" s="39" t="n">
        <v>20.52</v>
      </c>
      <c r="V10" s="39" t="n">
        <v>22.49</v>
      </c>
      <c r="W10" s="39" t="n">
        <v>25.05</v>
      </c>
      <c r="X10" s="41" t="n">
        <v>0.6894</v>
      </c>
      <c r="Y10" s="38" t="s">
        <v>405</v>
      </c>
      <c r="Z10" s="39" t="n">
        <v>18.73</v>
      </c>
      <c r="AA10" s="41" t="n">
        <v>0.0125</v>
      </c>
      <c r="AB10" s="73" t="n">
        <v>6</v>
      </c>
      <c r="AC10" s="73" t="n">
        <v>1</v>
      </c>
      <c r="AD10" s="73" t="n">
        <v>14</v>
      </c>
      <c r="AE10" s="73" t="n">
        <v>2</v>
      </c>
      <c r="AF10" s="73" t="n">
        <v>23</v>
      </c>
    </row>
    <row r="11" customFormat="false" ht="15" hidden="false" customHeight="false" outlineLevel="0" collapsed="false">
      <c r="A11" s="17" t="s">
        <v>363</v>
      </c>
      <c r="B11" s="50" t="s">
        <v>416</v>
      </c>
      <c r="C11" s="35" t="s">
        <v>417</v>
      </c>
      <c r="D11" s="22" t="s">
        <v>418</v>
      </c>
      <c r="E11" s="65" t="n">
        <v>225.47</v>
      </c>
      <c r="F11" s="66" t="n">
        <v>162.506</v>
      </c>
      <c r="G11" s="34" t="n">
        <f aca="false">F11/E11</f>
        <v>0.720743336142281</v>
      </c>
      <c r="H11" s="31" t="n">
        <v>104.8</v>
      </c>
      <c r="I11" s="65" t="n">
        <v>2.83</v>
      </c>
      <c r="J11" s="44" t="n">
        <f aca="false">E11/I11</f>
        <v>79.6713780918728</v>
      </c>
      <c r="K11" s="31" t="n">
        <v>3.5</v>
      </c>
      <c r="L11" s="33" t="n">
        <v>0.0136</v>
      </c>
      <c r="M11" s="21" t="n">
        <f aca="false">Financials!D47</f>
        <v>0.0253</v>
      </c>
      <c r="N11" s="21" t="n">
        <f aca="false">Financials!J47</f>
        <v>0.02016</v>
      </c>
      <c r="O11" s="21" t="n">
        <f aca="false">Financials!J44</f>
        <v>0.18763799002945</v>
      </c>
      <c r="P11" s="21" t="n">
        <f aca="false">Financials!J46</f>
        <v>-0.098155261576926</v>
      </c>
      <c r="Q11" s="21" t="n">
        <f aca="false">Financials!D45/Financials!D44</f>
        <v>0.0864550655102418</v>
      </c>
      <c r="R11" s="21" t="n">
        <f aca="false">Financials!G49</f>
        <v>0.35808210629541</v>
      </c>
      <c r="S11" s="16" t="s">
        <v>381</v>
      </c>
      <c r="T11" s="31" t="n">
        <v>3.5</v>
      </c>
      <c r="U11" s="31" t="n">
        <v>1.82</v>
      </c>
      <c r="V11" s="31" t="n">
        <v>2.19</v>
      </c>
      <c r="W11" s="31" t="n">
        <v>3.2</v>
      </c>
      <c r="X11" s="33" t="n">
        <v>0.0782</v>
      </c>
      <c r="Y11" s="30" t="s">
        <v>405</v>
      </c>
      <c r="Z11" s="31" t="n">
        <v>1.36</v>
      </c>
      <c r="AA11" s="33" t="n">
        <v>0.2278</v>
      </c>
      <c r="AB11" s="67" t="n">
        <v>12</v>
      </c>
      <c r="AC11" s="67" t="n">
        <v>6</v>
      </c>
      <c r="AD11" s="67" t="n">
        <v>4</v>
      </c>
      <c r="AE11" s="67" t="n">
        <v>0</v>
      </c>
      <c r="AF11" s="67" t="n">
        <v>22</v>
      </c>
    </row>
    <row r="12" customFormat="false" ht="15" hidden="false" customHeight="false" outlineLevel="0" collapsed="false">
      <c r="A12" s="17" t="s">
        <v>47</v>
      </c>
      <c r="B12" s="50" t="s">
        <v>46</v>
      </c>
      <c r="C12" s="35" t="s">
        <v>417</v>
      </c>
      <c r="D12" s="22" t="s">
        <v>419</v>
      </c>
      <c r="E12" s="68" t="n">
        <v>129.49</v>
      </c>
      <c r="F12" s="69" t="n">
        <v>120.715</v>
      </c>
      <c r="G12" s="42" t="n">
        <f aca="false">F12/E12</f>
        <v>0.932234149355163</v>
      </c>
      <c r="H12" s="39" t="n">
        <v>28.72</v>
      </c>
      <c r="I12" s="68" t="n">
        <v>3.48</v>
      </c>
      <c r="J12" s="70" t="n">
        <f aca="false">E12/I12</f>
        <v>37.2097701149425</v>
      </c>
      <c r="K12" s="39" t="n">
        <v>2.25</v>
      </c>
      <c r="L12" s="41" t="n">
        <v>0.0326</v>
      </c>
      <c r="M12" s="71" t="n">
        <f aca="false">Financials!D53</f>
        <v>0.0621</v>
      </c>
      <c r="N12" s="71" t="n">
        <f aca="false">Financials!J53</f>
        <v>0.07134</v>
      </c>
      <c r="O12" s="71" t="n">
        <f aca="false">Financials!J50</f>
        <v>0.141850149998586</v>
      </c>
      <c r="P12" s="71" t="n">
        <f aca="false">Financials!J52</f>
        <v>0.12111661301023</v>
      </c>
      <c r="Q12" s="71" t="n">
        <f aca="false">Financials!D51/Financials!D50</f>
        <v>0.36136190579789</v>
      </c>
      <c r="R12" s="71" t="n">
        <f aca="false">Financials!G55</f>
        <v>0.414995340545359</v>
      </c>
      <c r="S12" s="72" t="s">
        <v>381</v>
      </c>
      <c r="T12" s="39" t="n">
        <v>2.25</v>
      </c>
      <c r="U12" s="39" t="n">
        <v>1.94</v>
      </c>
      <c r="V12" s="39" t="n">
        <v>2.11</v>
      </c>
      <c r="W12" s="39" t="n">
        <v>2.45</v>
      </c>
      <c r="X12" s="41" t="n">
        <v>0.3574</v>
      </c>
      <c r="Y12" s="38" t="s">
        <v>405</v>
      </c>
      <c r="Z12" s="39" t="n">
        <v>1.36</v>
      </c>
      <c r="AA12" s="41" t="n">
        <v>0.0381</v>
      </c>
      <c r="AB12" s="73" t="n">
        <v>7</v>
      </c>
      <c r="AC12" s="73" t="n">
        <v>3</v>
      </c>
      <c r="AD12" s="73" t="n">
        <v>7</v>
      </c>
      <c r="AE12" s="73" t="n">
        <v>0</v>
      </c>
      <c r="AF12" s="73" t="n">
        <v>18</v>
      </c>
    </row>
    <row r="13" customFormat="false" ht="15" hidden="false" customHeight="false" outlineLevel="0" collapsed="false">
      <c r="A13" s="17" t="s">
        <v>366</v>
      </c>
      <c r="B13" s="50" t="s">
        <v>420</v>
      </c>
      <c r="C13" s="35" t="s">
        <v>417</v>
      </c>
      <c r="D13" s="22" t="s">
        <v>421</v>
      </c>
      <c r="E13" s="65" t="n">
        <v>1026.06</v>
      </c>
      <c r="F13" s="66" t="n">
        <v>101.243</v>
      </c>
      <c r="G13" s="34" t="n">
        <f aca="false">F13/E13</f>
        <v>0.0986716176441923</v>
      </c>
      <c r="H13" s="31" t="n">
        <v>66.04</v>
      </c>
      <c r="I13" s="65" t="n">
        <v>17.015</v>
      </c>
      <c r="J13" s="44" t="n">
        <f aca="false">E13/I13</f>
        <v>60.303261827799</v>
      </c>
      <c r="K13" s="31" t="n">
        <v>7.04</v>
      </c>
      <c r="L13" s="33" t="n">
        <v>0.0197</v>
      </c>
      <c r="M13" s="21" t="n">
        <f aca="false">Financials!D59</f>
        <v>0.0975</v>
      </c>
      <c r="N13" s="21" t="n">
        <f aca="false">Financials!J59</f>
        <v>0.0701</v>
      </c>
      <c r="O13" s="21" t="n">
        <f aca="false">Financials!J56</f>
        <v>0.10491426516055</v>
      </c>
      <c r="P13" s="21" t="n">
        <f aca="false">Financials!J58</f>
        <v>0.269078335835338</v>
      </c>
      <c r="Q13" s="21" t="n">
        <f aca="false">Financials!D57/Financials!D56</f>
        <v>0.145788336933045</v>
      </c>
      <c r="R13" s="21" t="n">
        <f aca="false">Financials!G61</f>
        <v>0.646795047457712</v>
      </c>
      <c r="S13" s="16" t="s">
        <v>381</v>
      </c>
      <c r="T13" s="31" t="n">
        <v>7.04</v>
      </c>
      <c r="U13" s="31" t="n">
        <v>5.53</v>
      </c>
      <c r="V13" s="31" t="n">
        <v>5.99</v>
      </c>
      <c r="W13" s="31" t="n">
        <v>6.7</v>
      </c>
      <c r="X13" s="33" t="n">
        <v>0.0867</v>
      </c>
      <c r="Y13" s="30" t="s">
        <v>405</v>
      </c>
      <c r="Z13" s="31" t="n">
        <v>1.36</v>
      </c>
      <c r="AA13" s="33" t="n">
        <v>0.3597</v>
      </c>
      <c r="AB13" s="67" t="n">
        <v>23</v>
      </c>
      <c r="AC13" s="67" t="n">
        <v>5</v>
      </c>
      <c r="AD13" s="67" t="n">
        <v>6</v>
      </c>
      <c r="AE13" s="67" t="n">
        <v>0</v>
      </c>
      <c r="AF13" s="67" t="n">
        <v>34</v>
      </c>
    </row>
    <row r="14" customFormat="false" ht="15" hidden="false" customHeight="false" outlineLevel="0" collapsed="false">
      <c r="A14" s="17" t="s">
        <v>38</v>
      </c>
      <c r="B14" s="50" t="s">
        <v>37</v>
      </c>
      <c r="C14" s="35" t="s">
        <v>422</v>
      </c>
      <c r="D14" s="22" t="s">
        <v>423</v>
      </c>
      <c r="E14" s="68" t="n">
        <v>483.73</v>
      </c>
      <c r="F14" s="69" t="n">
        <v>222.99</v>
      </c>
      <c r="G14" s="42" t="n">
        <f aca="false">F14/E14</f>
        <v>0.460980298927087</v>
      </c>
      <c r="H14" s="39" t="n">
        <v>30.78</v>
      </c>
      <c r="I14" s="68" t="n">
        <v>18.74</v>
      </c>
      <c r="J14" s="70" t="n">
        <f aca="false">E14/I14</f>
        <v>25.8127001067236</v>
      </c>
      <c r="K14" s="39" t="n">
        <v>5.71</v>
      </c>
      <c r="L14" s="41" t="n">
        <v>0.013</v>
      </c>
      <c r="M14" s="71" t="n">
        <f aca="false">Financials!D65</f>
        <v>0.1807</v>
      </c>
      <c r="N14" s="71" t="n">
        <f aca="false">Financials!J65</f>
        <v>0.13746</v>
      </c>
      <c r="O14" s="71" t="n">
        <f aca="false">Financials!J62</f>
        <v>0.0452231607210163</v>
      </c>
      <c r="P14" s="71" t="n">
        <f aca="false">Financials!J64</f>
        <v>0.254081790222709</v>
      </c>
      <c r="Q14" s="71" t="n">
        <f aca="false">Financials!D63/Financials!D62</f>
        <v>0.202965927146472</v>
      </c>
      <c r="R14" s="71" t="n">
        <f aca="false">Financials!G69</f>
        <v>0.542244030547013</v>
      </c>
      <c r="S14" s="72" t="s">
        <v>407</v>
      </c>
      <c r="T14" s="39" t="n">
        <v>30.78</v>
      </c>
      <c r="U14" s="39" t="n">
        <v>32.29</v>
      </c>
      <c r="V14" s="39" t="n">
        <v>33.68</v>
      </c>
      <c r="W14" s="39" t="n">
        <v>39.91</v>
      </c>
      <c r="X14" s="41" t="n">
        <v>0.908</v>
      </c>
      <c r="Y14" s="38" t="s">
        <v>405</v>
      </c>
      <c r="Z14" s="39" t="n">
        <v>29.45</v>
      </c>
      <c r="AA14" s="41" t="n">
        <v>0.1457</v>
      </c>
      <c r="AB14" s="73" t="n">
        <v>17</v>
      </c>
      <c r="AC14" s="73" t="n">
        <v>5</v>
      </c>
      <c r="AD14" s="73" t="n">
        <v>5</v>
      </c>
      <c r="AE14" s="73" t="n">
        <v>1</v>
      </c>
      <c r="AF14" s="73" t="n">
        <v>28</v>
      </c>
    </row>
    <row r="15" customFormat="false" ht="15" hidden="false" customHeight="false" outlineLevel="0" collapsed="false">
      <c r="A15" s="17" t="s">
        <v>369</v>
      </c>
      <c r="B15" s="50" t="s">
        <v>424</v>
      </c>
      <c r="C15" s="35" t="s">
        <v>422</v>
      </c>
      <c r="D15" s="22" t="s">
        <v>425</v>
      </c>
      <c r="E15" s="65" t="n">
        <v>117.84</v>
      </c>
      <c r="F15" s="66" t="n">
        <v>124.167</v>
      </c>
      <c r="G15" s="34" t="n">
        <f aca="false">F15/E15</f>
        <v>1.05369144602851</v>
      </c>
      <c r="H15" s="31" t="n">
        <v>14.44</v>
      </c>
      <c r="I15" s="65" t="n">
        <v>8.99</v>
      </c>
      <c r="J15" s="44" t="n">
        <f aca="false">E15/I15</f>
        <v>13.1078976640712</v>
      </c>
      <c r="K15" s="31" t="n">
        <v>3.52</v>
      </c>
      <c r="L15" s="33" t="n">
        <v>0.0087</v>
      </c>
      <c r="M15" s="21" t="n">
        <f aca="false">Financials!D73</f>
        <v>0.2221</v>
      </c>
      <c r="N15" s="21" t="n">
        <f aca="false">Financials!J73</f>
        <v>0.05126</v>
      </c>
      <c r="O15" s="21" t="n">
        <f aca="false">Financials!J70</f>
        <v>0.145432670876605</v>
      </c>
      <c r="P15" s="21" t="n">
        <f aca="false">Financials!J72</f>
        <v>0.127298030737116</v>
      </c>
      <c r="Q15" s="21" t="n">
        <f aca="false">Financials!D71/Financials!D70</f>
        <v>0.312541356036879</v>
      </c>
      <c r="R15" s="21" t="n">
        <f aca="false">Financials!G77</f>
        <v>0.404037044169395</v>
      </c>
      <c r="S15" s="16" t="s">
        <v>407</v>
      </c>
      <c r="T15" s="31" t="n">
        <v>14.44</v>
      </c>
      <c r="U15" s="31" t="n">
        <v>13.1</v>
      </c>
      <c r="V15" s="31" t="n">
        <v>14.92</v>
      </c>
      <c r="W15" s="31" t="n">
        <v>17.3</v>
      </c>
      <c r="X15" s="33" t="n">
        <v>0.5632</v>
      </c>
      <c r="Y15" s="30" t="s">
        <v>426</v>
      </c>
      <c r="Z15" s="31" t="n">
        <v>8.53</v>
      </c>
      <c r="AA15" s="33" t="n">
        <v>0.1878</v>
      </c>
      <c r="AB15" s="67" t="n">
        <v>15</v>
      </c>
      <c r="AC15" s="67" t="n">
        <v>5</v>
      </c>
      <c r="AD15" s="67" t="n">
        <v>2</v>
      </c>
      <c r="AE15" s="67" t="n">
        <v>1</v>
      </c>
      <c r="AF15" s="67" t="n">
        <v>23</v>
      </c>
    </row>
    <row r="16" customFormat="false" ht="15" hidden="false" customHeight="false" outlineLevel="0" collapsed="false">
      <c r="A16" s="17" t="s">
        <v>371</v>
      </c>
      <c r="B16" s="50" t="s">
        <v>427</v>
      </c>
      <c r="C16" s="35" t="s">
        <v>422</v>
      </c>
      <c r="D16" s="22" t="s">
        <v>428</v>
      </c>
      <c r="E16" s="68" t="n">
        <v>73.69</v>
      </c>
      <c r="F16" s="69" t="n">
        <v>105.82</v>
      </c>
      <c r="G16" s="42" t="n">
        <f aca="false">F16/E16</f>
        <v>1.4360157416203</v>
      </c>
      <c r="H16" s="39" t="n">
        <v>36.04</v>
      </c>
      <c r="I16" s="68" t="n">
        <v>3.8</v>
      </c>
      <c r="J16" s="70" t="n">
        <f aca="false">E16/I16</f>
        <v>19.3921052631579</v>
      </c>
      <c r="K16" s="39" t="n">
        <v>5.26</v>
      </c>
      <c r="L16" s="41" t="n">
        <v>0.0051</v>
      </c>
      <c r="M16" s="71" t="n">
        <f aca="false">Financials!D81</f>
        <v>0.1204</v>
      </c>
      <c r="N16" s="71" t="n">
        <f aca="false">Financials!J81</f>
        <v>0.18698</v>
      </c>
      <c r="O16" s="71" t="n">
        <f aca="false">Financials!J78</f>
        <v>0.127884967157037</v>
      </c>
      <c r="P16" s="71" t="n">
        <f aca="false">Financials!J80</f>
        <v>0.299606713771197</v>
      </c>
      <c r="Q16" s="71" t="n">
        <f aca="false">Financials!D79/Financials!D78</f>
        <v>0.0847771560872082</v>
      </c>
      <c r="R16" s="71" t="n">
        <f aca="false">Financials!G85</f>
        <v>0.471074664328571</v>
      </c>
      <c r="S16" s="72" t="s">
        <v>407</v>
      </c>
      <c r="T16" s="39" t="n">
        <v>36.04</v>
      </c>
      <c r="U16" s="39" t="n">
        <v>29.07</v>
      </c>
      <c r="V16" s="39" t="n">
        <v>32.55</v>
      </c>
      <c r="W16" s="39" t="n">
        <v>37.75</v>
      </c>
      <c r="X16" s="41" t="n">
        <v>0.2679</v>
      </c>
      <c r="Y16" s="38" t="s">
        <v>408</v>
      </c>
      <c r="Z16" s="39" t="n">
        <v>31.2</v>
      </c>
      <c r="AA16" s="41" t="n">
        <v>0.4612</v>
      </c>
      <c r="AB16" s="73" t="n">
        <v>12</v>
      </c>
      <c r="AC16" s="73" t="n">
        <v>6</v>
      </c>
      <c r="AD16" s="73" t="n">
        <v>4</v>
      </c>
      <c r="AE16" s="73" t="n">
        <v>1</v>
      </c>
      <c r="AF16" s="73" t="n">
        <v>24</v>
      </c>
    </row>
    <row r="18" customFormat="false" ht="15" hidden="false" customHeight="false" outlineLevel="0" collapsed="false">
      <c r="B18" s="23" t="s">
        <v>429</v>
      </c>
      <c r="H18" s="74" t="n">
        <f aca="false">MEDIAN(H5:H16)</f>
        <v>29.6</v>
      </c>
      <c r="J18" s="74" t="n">
        <f aca="false">MEDIAN(J5:J16)</f>
        <v>24.0097447251947</v>
      </c>
      <c r="K18" s="74" t="n">
        <f aca="false">MEDIAN(K5:K16)</f>
        <v>3.4</v>
      </c>
      <c r="L18" s="75" t="n">
        <f aca="false">MEDIAN(L5:L16)</f>
        <v>0.0133</v>
      </c>
      <c r="M18" s="75" t="n">
        <f aca="false">MEDIAN(M5:M16)</f>
        <v>0.128</v>
      </c>
      <c r="N18" s="75" t="n">
        <f aca="false">MEDIAN(N5:N16)</f>
        <v>0.11915</v>
      </c>
      <c r="O18" s="75" t="n">
        <f aca="false">MEDIAN(O5:O16)</f>
        <v>0.104576624864277</v>
      </c>
      <c r="Q18" s="75" t="n">
        <f aca="false">MEDIAN(Q5:Q16)</f>
        <v>0.191628449837653</v>
      </c>
      <c r="X18" s="75" t="n">
        <f aca="false">MEDIAN(X5:X16)</f>
        <v>0.42265</v>
      </c>
    </row>
    <row r="19" customFormat="false" ht="15" hidden="false" customHeight="false" outlineLevel="0" collapsed="false">
      <c r="B19" s="23" t="s">
        <v>430</v>
      </c>
      <c r="H19" s="74" t="n">
        <f aca="false">AVERAGE(H5:H16)</f>
        <v>34.1608333333333</v>
      </c>
      <c r="J19" s="74" t="n">
        <f aca="false">AVERAGE(J5:J16)</f>
        <v>30.0790317087317</v>
      </c>
      <c r="K19" s="74" t="n">
        <f aca="false">AVERAGE(K5:K16)</f>
        <v>5.10833333333333</v>
      </c>
      <c r="L19" s="75" t="n">
        <f aca="false">AVERAGE(L5:L16)</f>
        <v>0.0158416666666667</v>
      </c>
      <c r="M19" s="75" t="n">
        <f aca="false">AVERAGE(M5:M16)</f>
        <v>0.160333333333333</v>
      </c>
      <c r="N19" s="75" t="n">
        <f aca="false">AVERAGE(N5:N16)</f>
        <v>0.137716666666667</v>
      </c>
      <c r="O19" s="75" t="n">
        <f aca="false">AVERAGE(O5:O16)</f>
        <v>0.109523145069993</v>
      </c>
      <c r="Q19" s="75" t="n">
        <f aca="false">AVERAGE(Q5:Q16)</f>
        <v>0.22404440930846</v>
      </c>
      <c r="X19" s="75" t="n">
        <f aca="false">AVERAGE(X5:X16)</f>
        <v>0.444575</v>
      </c>
    </row>
    <row r="21" customFormat="false" ht="15" hidden="false" customHeight="false" outlineLevel="0" collapsed="false">
      <c r="A21" s="76" t="s">
        <v>431</v>
      </c>
    </row>
    <row r="22" customFormat="false" ht="15" hidden="false" customHeight="false" outlineLevel="0" collapsed="false">
      <c r="A22" s="77" t="s">
        <v>432</v>
      </c>
    </row>
    <row r="23" customFormat="false" ht="15" hidden="false" customHeight="false" outlineLevel="0" collapsed="false">
      <c r="A23" s="10" t="s">
        <v>433</v>
      </c>
    </row>
    <row r="24" customFormat="false" ht="15" hidden="false" customHeight="false" outlineLevel="0" collapsed="false">
      <c r="A24" s="77" t="s">
        <v>434</v>
      </c>
    </row>
  </sheetData>
  <conditionalFormatting sqref="X5:X16">
    <cfRule type="colorScale" priority="2">
      <colorScale>
        <cfvo type="num" val="0"/>
        <cfvo type="num" val="0.5"/>
        <cfvo type="num" val="1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J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9" min="4" style="0" width="11"/>
    <col collapsed="false" customWidth="true" hidden="false" outlineLevel="0" max="10" min="10" style="0" width="12"/>
  </cols>
  <sheetData>
    <row r="1" customFormat="false" ht="20.85" hidden="false" customHeight="false" outlineLevel="0" collapsed="false">
      <c r="A1" s="9" t="s">
        <v>435</v>
      </c>
    </row>
    <row r="2" customFormat="false" ht="15" hidden="false" customHeight="false" outlineLevel="0" collapsed="false">
      <c r="A2" s="10" t="s">
        <v>436</v>
      </c>
    </row>
    <row r="4" customFormat="false" ht="21.75" hidden="false" customHeight="true" outlineLevel="0" collapsed="false">
      <c r="A4" s="14" t="s">
        <v>30</v>
      </c>
      <c r="B4" s="15" t="s">
        <v>293</v>
      </c>
      <c r="C4" s="15" t="s">
        <v>437</v>
      </c>
      <c r="D4" s="14" t="s">
        <v>438</v>
      </c>
      <c r="E4" s="14" t="s">
        <v>439</v>
      </c>
      <c r="F4" s="14" t="s">
        <v>440</v>
      </c>
      <c r="G4" s="14" t="s">
        <v>441</v>
      </c>
      <c r="H4" s="14" t="s">
        <v>442</v>
      </c>
      <c r="I4" s="14" t="s">
        <v>443</v>
      </c>
      <c r="J4" s="14" t="s">
        <v>444</v>
      </c>
    </row>
    <row r="5" customFormat="false" ht="15" hidden="false" customHeight="false" outlineLevel="0" collapsed="false">
      <c r="A5" s="78" t="s">
        <v>41</v>
      </c>
      <c r="B5" s="29" t="s">
        <v>445</v>
      </c>
      <c r="C5" s="16" t="s">
        <v>446</v>
      </c>
      <c r="D5" s="66" t="n">
        <v>371.444</v>
      </c>
      <c r="E5" s="66" t="n">
        <v>371.433</v>
      </c>
      <c r="F5" s="66" t="n">
        <v>364.482</v>
      </c>
      <c r="G5" s="66" t="n">
        <v>302.02</v>
      </c>
      <c r="H5" s="66" t="n">
        <v>276.185</v>
      </c>
      <c r="I5" s="66" t="n">
        <v>245.579</v>
      </c>
      <c r="J5" s="32" t="n">
        <f aca="false">IFERROR((D5/I5)^(1/5)-1,"n/m")</f>
        <v>0.08627659972798</v>
      </c>
    </row>
    <row r="6" customFormat="false" ht="15" hidden="false" customHeight="false" outlineLevel="0" collapsed="false">
      <c r="A6" s="78" t="s">
        <v>41</v>
      </c>
      <c r="B6" s="29" t="s">
        <v>447</v>
      </c>
      <c r="C6" s="16" t="s">
        <v>446</v>
      </c>
      <c r="D6" s="79" t="n">
        <v>66.968</v>
      </c>
      <c r="E6" s="79" t="n">
        <v>88.995</v>
      </c>
      <c r="F6" s="79" t="n">
        <v>96.223</v>
      </c>
      <c r="G6" s="79" t="n">
        <v>-22.759</v>
      </c>
      <c r="H6" s="79" t="n">
        <v>89.937</v>
      </c>
      <c r="I6" s="79" t="n">
        <v>42.521</v>
      </c>
    </row>
    <row r="7" customFormat="false" ht="15" hidden="false" customHeight="false" outlineLevel="0" collapsed="false">
      <c r="A7" s="78" t="s">
        <v>41</v>
      </c>
      <c r="B7" s="29" t="s">
        <v>448</v>
      </c>
      <c r="C7" s="16" t="s">
        <v>449</v>
      </c>
      <c r="D7" s="79" t="n">
        <v>31.04</v>
      </c>
      <c r="E7" s="79" t="n">
        <v>41.27</v>
      </c>
      <c r="F7" s="79" t="n">
        <v>44.27</v>
      </c>
      <c r="G7" s="79" t="n">
        <v>-10.33</v>
      </c>
      <c r="H7" s="79" t="n">
        <v>39.7</v>
      </c>
      <c r="I7" s="79" t="n">
        <v>17.78</v>
      </c>
      <c r="J7" s="32" t="n">
        <f aca="false">IFERROR((D7/I7)^(1/5)-1,"n/m")</f>
        <v>0.117887219962688</v>
      </c>
    </row>
    <row r="8" customFormat="false" ht="15" hidden="false" customHeight="false" outlineLevel="0" collapsed="false">
      <c r="A8" s="78" t="s">
        <v>41</v>
      </c>
      <c r="B8" s="50" t="s">
        <v>450</v>
      </c>
      <c r="C8" s="16" t="s">
        <v>451</v>
      </c>
      <c r="D8" s="33" t="n">
        <v>0.098</v>
      </c>
      <c r="E8" s="33" t="n">
        <v>0.147</v>
      </c>
      <c r="F8" s="33" t="n">
        <v>0.186</v>
      </c>
      <c r="G8" s="33" t="n">
        <v>-0.0465</v>
      </c>
      <c r="H8" s="33" t="n">
        <v>0.1895</v>
      </c>
      <c r="I8" s="33" t="n">
        <v>0.098</v>
      </c>
      <c r="J8" s="32" t="n">
        <f aca="false">AVERAGE(D8:H8)</f>
        <v>0.1148</v>
      </c>
    </row>
    <row r="9" customFormat="false" ht="15" hidden="false" customHeight="false" outlineLevel="0" collapsed="false">
      <c r="A9" s="78" t="s">
        <v>41</v>
      </c>
      <c r="B9" s="29" t="s">
        <v>452</v>
      </c>
      <c r="C9" s="16" t="s">
        <v>446</v>
      </c>
      <c r="D9" s="79" t="n">
        <v>45.969</v>
      </c>
      <c r="E9" s="79" t="n">
        <v>30.592</v>
      </c>
      <c r="F9" s="79" t="n">
        <v>49.196</v>
      </c>
      <c r="G9" s="79" t="n">
        <v>37.35</v>
      </c>
      <c r="H9" s="79" t="n">
        <v>39.427</v>
      </c>
      <c r="I9" s="79" t="n">
        <v>39.773</v>
      </c>
    </row>
    <row r="10" customFormat="false" ht="15" hidden="false" customHeight="false" outlineLevel="0" collapsed="false">
      <c r="A10" s="78" t="s">
        <v>41</v>
      </c>
      <c r="B10" s="29" t="s">
        <v>453</v>
      </c>
      <c r="C10" s="16" t="s">
        <v>446</v>
      </c>
      <c r="D10" s="79" t="n">
        <v>20.927</v>
      </c>
      <c r="E10" s="79" t="n">
        <v>18.976</v>
      </c>
      <c r="F10" s="79" t="n">
        <v>19.409</v>
      </c>
      <c r="G10" s="79" t="n">
        <v>15.464</v>
      </c>
      <c r="H10" s="79" t="n">
        <v>13.276</v>
      </c>
      <c r="I10" s="79" t="n">
        <v>13.012</v>
      </c>
    </row>
    <row r="11" customFormat="false" ht="15" hidden="false" customHeight="false" outlineLevel="0" collapsed="false">
      <c r="A11" s="78" t="s">
        <v>41</v>
      </c>
      <c r="B11" s="29" t="s">
        <v>454</v>
      </c>
      <c r="C11" s="16" t="s">
        <v>446</v>
      </c>
      <c r="D11" s="34" t="n">
        <f aca="false">D9-D10</f>
        <v>25.042</v>
      </c>
      <c r="E11" s="34" t="n">
        <f aca="false">E9-E10</f>
        <v>11.616</v>
      </c>
      <c r="F11" s="34" t="n">
        <f aca="false">F9-F10</f>
        <v>29.787</v>
      </c>
      <c r="G11" s="34" t="n">
        <f aca="false">G9-G10</f>
        <v>21.886</v>
      </c>
      <c r="H11" s="34" t="n">
        <f aca="false">H9-H10</f>
        <v>26.151</v>
      </c>
      <c r="I11" s="34" t="n">
        <f aca="false">I9-I10</f>
        <v>26.761</v>
      </c>
    </row>
    <row r="12" customFormat="false" ht="15" hidden="false" customHeight="false" outlineLevel="0" collapsed="false">
      <c r="A12" s="80" t="s">
        <v>41</v>
      </c>
      <c r="B12" s="81" t="s">
        <v>455</v>
      </c>
      <c r="C12" s="82" t="s">
        <v>446</v>
      </c>
      <c r="D12" s="83" t="n">
        <v>1222.176</v>
      </c>
      <c r="E12" s="83" t="n">
        <v>502.473</v>
      </c>
      <c r="F12" s="84" t="s">
        <v>456</v>
      </c>
      <c r="G12" s="85" t="n">
        <f aca="false">E12/D12</f>
        <v>0.411129820909591</v>
      </c>
      <c r="H12" s="86"/>
      <c r="I12" s="86"/>
      <c r="J12" s="86"/>
    </row>
    <row r="13" customFormat="false" ht="15" hidden="false" customHeight="false" outlineLevel="0" collapsed="false">
      <c r="A13" s="78" t="s">
        <v>50</v>
      </c>
      <c r="B13" s="29" t="s">
        <v>445</v>
      </c>
      <c r="C13" s="16" t="s">
        <v>446</v>
      </c>
      <c r="D13" s="66" t="n">
        <v>168.235</v>
      </c>
      <c r="E13" s="66" t="n">
        <v>166.775</v>
      </c>
      <c r="F13" s="66" t="n">
        <v>145.67</v>
      </c>
      <c r="G13" s="66" t="n">
        <v>122.306</v>
      </c>
      <c r="H13" s="66" t="n">
        <v>130.898</v>
      </c>
      <c r="I13" s="66" t="n">
        <v>102.471</v>
      </c>
      <c r="J13" s="32" t="n">
        <f aca="false">IFERROR((D13/I13)^(1/5)-1,"n/m")</f>
        <v>0.104238984568003</v>
      </c>
    </row>
    <row r="14" customFormat="false" ht="15" hidden="false" customHeight="false" outlineLevel="0" collapsed="false">
      <c r="A14" s="78" t="s">
        <v>50</v>
      </c>
      <c r="B14" s="29" t="s">
        <v>447</v>
      </c>
      <c r="C14" s="16" t="s">
        <v>446</v>
      </c>
      <c r="D14" s="79" t="n">
        <v>55.681</v>
      </c>
      <c r="E14" s="79" t="n">
        <v>56.868</v>
      </c>
      <c r="F14" s="79" t="n">
        <v>47.76</v>
      </c>
      <c r="G14" s="79" t="n">
        <v>35.892</v>
      </c>
      <c r="H14" s="79" t="n">
        <v>46.503</v>
      </c>
      <c r="I14" s="79" t="n">
        <v>27.41</v>
      </c>
    </row>
    <row r="15" customFormat="false" ht="15" hidden="false" customHeight="false" outlineLevel="0" collapsed="false">
      <c r="A15" s="78" t="s">
        <v>50</v>
      </c>
      <c r="B15" s="29" t="s">
        <v>448</v>
      </c>
      <c r="C15" s="16" t="s">
        <v>449</v>
      </c>
      <c r="D15" s="79" t="n">
        <v>20.02</v>
      </c>
      <c r="E15" s="79" t="n">
        <v>19.75</v>
      </c>
      <c r="F15" s="79" t="n">
        <v>16.23</v>
      </c>
      <c r="G15" s="79" t="n">
        <v>12.09</v>
      </c>
      <c r="H15" s="79" t="n">
        <v>15.36</v>
      </c>
      <c r="I15" s="79" t="n">
        <v>8.88</v>
      </c>
      <c r="J15" s="32" t="n">
        <f aca="false">IFERROR((D15/I15)^(1/5)-1,"n/m")</f>
        <v>0.176549548389425</v>
      </c>
    </row>
    <row r="16" customFormat="false" ht="15" hidden="false" customHeight="false" outlineLevel="0" collapsed="false">
      <c r="A16" s="78" t="s">
        <v>50</v>
      </c>
      <c r="B16" s="50" t="s">
        <v>450</v>
      </c>
      <c r="C16" s="16" t="s">
        <v>451</v>
      </c>
      <c r="D16" s="33" t="n">
        <v>0.1669</v>
      </c>
      <c r="E16" s="33" t="n">
        <v>0.1819</v>
      </c>
      <c r="F16" s="33" t="n">
        <v>0.1689</v>
      </c>
      <c r="G16" s="33" t="n">
        <v>0.1369</v>
      </c>
      <c r="H16" s="33" t="n">
        <v>0.1829</v>
      </c>
      <c r="I16" s="33" t="n">
        <v>0.1134</v>
      </c>
      <c r="J16" s="32" t="n">
        <f aca="false">AVERAGE(D16:H16)</f>
        <v>0.1675</v>
      </c>
    </row>
    <row r="17" customFormat="false" ht="15" hidden="false" customHeight="false" outlineLevel="0" collapsed="false">
      <c r="A17" s="80" t="s">
        <v>50</v>
      </c>
      <c r="B17" s="81" t="s">
        <v>455</v>
      </c>
      <c r="C17" s="82" t="s">
        <v>446</v>
      </c>
      <c r="D17" s="83" t="n">
        <v>4424.9</v>
      </c>
      <c r="E17" s="83" t="n">
        <v>4062.462</v>
      </c>
      <c r="F17" s="84" t="s">
        <v>456</v>
      </c>
      <c r="G17" s="85" t="n">
        <f aca="false">E17/D17</f>
        <v>0.918091256299577</v>
      </c>
      <c r="H17" s="86"/>
      <c r="I17" s="86"/>
      <c r="J17" s="86"/>
    </row>
    <row r="18" customFormat="false" ht="15" hidden="false" customHeight="false" outlineLevel="0" collapsed="false">
      <c r="A18" s="78" t="s">
        <v>44</v>
      </c>
      <c r="B18" s="29" t="s">
        <v>445</v>
      </c>
      <c r="C18" s="16" t="s">
        <v>446</v>
      </c>
      <c r="D18" s="66" t="n">
        <v>40</v>
      </c>
      <c r="E18" s="66" t="n">
        <v>35.926</v>
      </c>
      <c r="F18" s="66" t="n">
        <v>32.653</v>
      </c>
      <c r="G18" s="66" t="n">
        <v>29.31</v>
      </c>
      <c r="H18" s="66" t="n">
        <v>24.105</v>
      </c>
      <c r="I18" s="66" t="n">
        <v>21.846</v>
      </c>
      <c r="J18" s="32" t="n">
        <f aca="false">IFERROR((D18/I18)^(1/5)-1,"n/m")</f>
        <v>0.128593676004242</v>
      </c>
    </row>
    <row r="19" customFormat="false" ht="15" hidden="false" customHeight="false" outlineLevel="0" collapsed="false">
      <c r="A19" s="78" t="s">
        <v>44</v>
      </c>
      <c r="B19" s="29" t="s">
        <v>447</v>
      </c>
      <c r="C19" s="16" t="s">
        <v>446</v>
      </c>
      <c r="D19" s="79" t="n">
        <v>19.853</v>
      </c>
      <c r="E19" s="79" t="n">
        <v>19.457</v>
      </c>
      <c r="F19" s="79" t="n">
        <v>16.989</v>
      </c>
      <c r="G19" s="79" t="n">
        <v>14.63</v>
      </c>
      <c r="H19" s="79" t="n">
        <v>12.008</v>
      </c>
      <c r="I19" s="79" t="n">
        <v>10.475</v>
      </c>
    </row>
    <row r="20" customFormat="false" ht="15" hidden="false" customHeight="false" outlineLevel="0" collapsed="false">
      <c r="A20" s="78" t="s">
        <v>44</v>
      </c>
      <c r="B20" s="29" t="s">
        <v>448</v>
      </c>
      <c r="C20" s="16" t="s">
        <v>449</v>
      </c>
      <c r="D20" s="79" t="n">
        <v>10.2</v>
      </c>
      <c r="E20" s="79" t="n">
        <v>9.73</v>
      </c>
      <c r="F20" s="79" t="n">
        <v>8.28</v>
      </c>
      <c r="G20" s="79" t="n">
        <v>7</v>
      </c>
      <c r="H20" s="79" t="n">
        <v>5.63</v>
      </c>
      <c r="I20" s="79" t="n">
        <v>4.89</v>
      </c>
      <c r="J20" s="32" t="n">
        <f aca="false">IFERROR((D20/I20)^(1/5)-1,"n/m")</f>
        <v>0.158399236280308</v>
      </c>
    </row>
    <row r="21" customFormat="false" ht="15" hidden="false" customHeight="false" outlineLevel="0" collapsed="false">
      <c r="A21" s="78" t="s">
        <v>44</v>
      </c>
      <c r="B21" s="50" t="s">
        <v>450</v>
      </c>
      <c r="C21" s="16" t="s">
        <v>451</v>
      </c>
      <c r="D21" s="33" t="n">
        <v>0.5275</v>
      </c>
      <c r="E21" s="33" t="n">
        <v>0.5179</v>
      </c>
      <c r="F21" s="33" t="n">
        <v>0.4834</v>
      </c>
      <c r="G21" s="33" t="n">
        <v>0.4318</v>
      </c>
      <c r="H21" s="33" t="n">
        <v>0.3659</v>
      </c>
      <c r="I21" s="33" t="n">
        <v>0.3472</v>
      </c>
      <c r="J21" s="32" t="n">
        <f aca="false">AVERAGE(D21:H21)</f>
        <v>0.4653</v>
      </c>
    </row>
    <row r="22" customFormat="false" ht="15" hidden="false" customHeight="false" outlineLevel="0" collapsed="false">
      <c r="A22" s="78" t="s">
        <v>44</v>
      </c>
      <c r="B22" s="29" t="s">
        <v>452</v>
      </c>
      <c r="C22" s="16" t="s">
        <v>446</v>
      </c>
      <c r="D22" s="79" t="n">
        <v>23.059</v>
      </c>
      <c r="E22" s="79" t="n">
        <v>19.95</v>
      </c>
      <c r="F22" s="79" t="n">
        <v>20.755</v>
      </c>
      <c r="G22" s="79" t="n">
        <v>18.849</v>
      </c>
      <c r="H22" s="79" t="n">
        <v>15.227</v>
      </c>
      <c r="I22" s="79" t="n">
        <v>10.44</v>
      </c>
    </row>
    <row r="23" customFormat="false" ht="15" hidden="false" customHeight="false" outlineLevel="0" collapsed="false">
      <c r="A23" s="78" t="s">
        <v>44</v>
      </c>
      <c r="B23" s="29" t="s">
        <v>453</v>
      </c>
      <c r="C23" s="16" t="s">
        <v>446</v>
      </c>
      <c r="D23" s="79" t="n">
        <v>1.482</v>
      </c>
      <c r="E23" s="79" t="n">
        <v>1.257</v>
      </c>
      <c r="F23" s="79" t="n">
        <v>1.059</v>
      </c>
      <c r="G23" s="79" t="n">
        <v>0.97</v>
      </c>
      <c r="H23" s="79" t="n">
        <v>0.705</v>
      </c>
      <c r="I23" s="79" t="n">
        <v>0.736</v>
      </c>
    </row>
    <row r="24" customFormat="false" ht="15" hidden="false" customHeight="false" outlineLevel="0" collapsed="false">
      <c r="A24" s="78" t="s">
        <v>44</v>
      </c>
      <c r="B24" s="29" t="s">
        <v>454</v>
      </c>
      <c r="C24" s="16" t="s">
        <v>446</v>
      </c>
      <c r="D24" s="34" t="n">
        <f aca="false">D22-D23</f>
        <v>21.577</v>
      </c>
      <c r="E24" s="34" t="n">
        <f aca="false">E22-E23</f>
        <v>18.693</v>
      </c>
      <c r="F24" s="34" t="n">
        <f aca="false">F22-F23</f>
        <v>19.696</v>
      </c>
      <c r="G24" s="34" t="n">
        <f aca="false">G22-G23</f>
        <v>17.879</v>
      </c>
      <c r="H24" s="34" t="n">
        <f aca="false">H22-H23</f>
        <v>14.522</v>
      </c>
      <c r="I24" s="34" t="n">
        <f aca="false">I22-I23</f>
        <v>9.704</v>
      </c>
    </row>
    <row r="25" customFormat="false" ht="15" hidden="false" customHeight="false" outlineLevel="0" collapsed="false">
      <c r="A25" s="80" t="s">
        <v>44</v>
      </c>
      <c r="B25" s="81" t="s">
        <v>455</v>
      </c>
      <c r="C25" s="82" t="s">
        <v>446</v>
      </c>
      <c r="D25" s="83" t="n">
        <v>99.627</v>
      </c>
      <c r="E25" s="83" t="n">
        <v>61.718</v>
      </c>
      <c r="F25" s="84" t="s">
        <v>456</v>
      </c>
      <c r="G25" s="85" t="n">
        <f aca="false">E25/D25</f>
        <v>0.619490700312165</v>
      </c>
      <c r="H25" s="86"/>
      <c r="I25" s="86"/>
      <c r="J25" s="86"/>
    </row>
    <row r="26" customFormat="false" ht="15" hidden="false" customHeight="false" outlineLevel="0" collapsed="false">
      <c r="A26" s="78" t="s">
        <v>53</v>
      </c>
      <c r="B26" s="29" t="s">
        <v>445</v>
      </c>
      <c r="C26" s="16" t="s">
        <v>446</v>
      </c>
      <c r="D26" s="66" t="n">
        <v>27.412</v>
      </c>
      <c r="E26" s="66" t="n">
        <v>24.753</v>
      </c>
      <c r="F26" s="66" t="n">
        <v>28.114</v>
      </c>
      <c r="G26" s="66" t="n">
        <v>20.956</v>
      </c>
      <c r="H26" s="66" t="n">
        <v>17.069</v>
      </c>
      <c r="I26" s="66" t="n">
        <v>17.997</v>
      </c>
      <c r="J26" s="32" t="n">
        <f aca="false">IFERROR((D26/I26)^(1/5)-1,"n/m")</f>
        <v>0.0877976626142119</v>
      </c>
    </row>
    <row r="27" customFormat="false" ht="15" hidden="false" customHeight="false" outlineLevel="0" collapsed="false">
      <c r="A27" s="78" t="s">
        <v>53</v>
      </c>
      <c r="B27" s="29" t="s">
        <v>447</v>
      </c>
      <c r="C27" s="16" t="s">
        <v>446</v>
      </c>
      <c r="D27" s="79" t="n">
        <v>6.835</v>
      </c>
      <c r="E27" s="79" t="n">
        <v>6.946</v>
      </c>
      <c r="F27" s="79" t="n">
        <v>7.31</v>
      </c>
      <c r="G27" s="79" t="n">
        <v>4.147</v>
      </c>
      <c r="H27" s="79" t="n">
        <v>3.573</v>
      </c>
      <c r="I27" s="79" t="n">
        <v>2.919</v>
      </c>
    </row>
    <row r="28" customFormat="false" ht="15" hidden="false" customHeight="false" outlineLevel="0" collapsed="false">
      <c r="A28" s="78" t="s">
        <v>53</v>
      </c>
      <c r="B28" s="29" t="s">
        <v>448</v>
      </c>
      <c r="C28" s="16" t="s">
        <v>449</v>
      </c>
      <c r="D28" s="79" t="n">
        <v>3.3</v>
      </c>
      <c r="E28" s="79" t="n">
        <v>3.37</v>
      </c>
      <c r="F28" s="79" t="n">
        <v>3.6</v>
      </c>
      <c r="G28" s="79" t="n">
        <v>2.1</v>
      </c>
      <c r="H28" s="79" t="n">
        <v>1.81</v>
      </c>
      <c r="I28" s="79" t="n">
        <v>1.48</v>
      </c>
      <c r="J28" s="32" t="n">
        <f aca="false">IFERROR((D28/I28)^(1/5)-1,"n/m")</f>
        <v>0.173952283426718</v>
      </c>
    </row>
    <row r="29" customFormat="false" ht="15" hidden="false" customHeight="false" outlineLevel="0" collapsed="false">
      <c r="A29" s="78" t="s">
        <v>53</v>
      </c>
      <c r="B29" s="50" t="s">
        <v>450</v>
      </c>
      <c r="C29" s="16" t="s">
        <v>451</v>
      </c>
      <c r="D29" s="33" t="n">
        <v>0.1306</v>
      </c>
      <c r="E29" s="33" t="n">
        <v>0.1424</v>
      </c>
      <c r="F29" s="33" t="n">
        <v>0.1686</v>
      </c>
      <c r="G29" s="33" t="n">
        <v>0.1085</v>
      </c>
      <c r="H29" s="33" t="n">
        <v>0.0969</v>
      </c>
      <c r="I29" s="33" t="n">
        <v>0.0794</v>
      </c>
      <c r="J29" s="32" t="n">
        <f aca="false">AVERAGE(D29:H29)</f>
        <v>0.1294</v>
      </c>
    </row>
    <row r="30" customFormat="false" ht="15" hidden="false" customHeight="false" outlineLevel="0" collapsed="false">
      <c r="A30" s="78" t="s">
        <v>53</v>
      </c>
      <c r="B30" s="29" t="s">
        <v>452</v>
      </c>
      <c r="C30" s="16" t="s">
        <v>446</v>
      </c>
      <c r="D30" s="79" t="n">
        <v>12.485</v>
      </c>
      <c r="E30" s="79" t="n">
        <v>13.26</v>
      </c>
      <c r="F30" s="79" t="n">
        <v>11.301</v>
      </c>
      <c r="G30" s="79" t="n">
        <v>8.262</v>
      </c>
      <c r="H30" s="79" t="n">
        <v>7.553</v>
      </c>
      <c r="I30" s="79" t="n">
        <v>7.983</v>
      </c>
    </row>
    <row r="31" customFormat="false" ht="15" hidden="false" customHeight="false" outlineLevel="0" collapsed="false">
      <c r="A31" s="80" t="s">
        <v>53</v>
      </c>
      <c r="B31" s="81" t="s">
        <v>455</v>
      </c>
      <c r="C31" s="82" t="s">
        <v>446</v>
      </c>
      <c r="D31" s="83" t="n">
        <v>212.721</v>
      </c>
      <c r="E31" s="83" t="n">
        <v>146.242</v>
      </c>
      <c r="F31" s="84" t="s">
        <v>456</v>
      </c>
      <c r="G31" s="85" t="n">
        <f aca="false">E31/D31</f>
        <v>0.687482665087133</v>
      </c>
      <c r="H31" s="86"/>
      <c r="I31" s="86"/>
      <c r="J31" s="86"/>
    </row>
    <row r="32" customFormat="false" ht="15" hidden="false" customHeight="false" outlineLevel="0" collapsed="false">
      <c r="A32" s="78" t="s">
        <v>359</v>
      </c>
      <c r="B32" s="29" t="s">
        <v>445</v>
      </c>
      <c r="C32" s="16" t="s">
        <v>446</v>
      </c>
      <c r="D32" s="66" t="n">
        <v>25.533</v>
      </c>
      <c r="E32" s="66" t="n">
        <v>23.568</v>
      </c>
      <c r="F32" s="66" t="n">
        <v>24.918</v>
      </c>
      <c r="G32" s="66" t="n">
        <v>24.44</v>
      </c>
      <c r="H32" s="66" t="n">
        <v>19.649</v>
      </c>
      <c r="I32" s="66" t="n">
        <v>17.603</v>
      </c>
      <c r="J32" s="32" t="n">
        <f aca="false">IFERROR((D32/I32)^(1/5)-1,"n/m")</f>
        <v>0.0772165849838065</v>
      </c>
    </row>
    <row r="33" customFormat="false" ht="15" hidden="false" customHeight="false" outlineLevel="0" collapsed="false">
      <c r="A33" s="78" t="s">
        <v>359</v>
      </c>
      <c r="B33" s="29" t="s">
        <v>447</v>
      </c>
      <c r="C33" s="16" t="s">
        <v>446</v>
      </c>
      <c r="D33" s="79" t="n">
        <v>2.319</v>
      </c>
      <c r="E33" s="79" t="n">
        <v>3.749</v>
      </c>
      <c r="F33" s="79" t="n">
        <v>1.623</v>
      </c>
      <c r="G33" s="79" t="n">
        <v>-0.16</v>
      </c>
      <c r="H33" s="79" t="n">
        <v>-0.205</v>
      </c>
      <c r="I33" s="79" t="n">
        <v>0.589</v>
      </c>
    </row>
    <row r="34" customFormat="false" ht="15" hidden="false" customHeight="false" outlineLevel="0" collapsed="false">
      <c r="A34" s="78" t="s">
        <v>359</v>
      </c>
      <c r="B34" s="29" t="s">
        <v>448</v>
      </c>
      <c r="C34" s="16" t="s">
        <v>449</v>
      </c>
      <c r="D34" s="79" t="n">
        <v>7.4</v>
      </c>
      <c r="E34" s="79" t="n">
        <v>11.89</v>
      </c>
      <c r="F34" s="79" t="n">
        <v>5.01</v>
      </c>
      <c r="G34" s="79" t="n">
        <v>-0.49</v>
      </c>
      <c r="H34" s="79"/>
      <c r="I34" s="79"/>
      <c r="J34" s="32" t="str">
        <f aca="false">IFERROR((D34/I34)^(1/5)-1,"n/m")</f>
        <v>n/m</v>
      </c>
    </row>
    <row r="35" customFormat="false" ht="15" hidden="false" customHeight="false" outlineLevel="0" collapsed="false">
      <c r="A35" s="78" t="s">
        <v>359</v>
      </c>
      <c r="B35" s="50" t="s">
        <v>450</v>
      </c>
      <c r="C35" s="16" t="s">
        <v>451</v>
      </c>
      <c r="D35" s="33" t="n">
        <v>0.1675</v>
      </c>
      <c r="E35" s="33" t="n">
        <v>0.3112</v>
      </c>
      <c r="F35" s="33" t="n">
        <v>0.1479</v>
      </c>
      <c r="G35" s="33" t="n">
        <v>-0.0144</v>
      </c>
      <c r="H35" s="33" t="n">
        <v>-0.0174</v>
      </c>
      <c r="I35" s="33" t="n">
        <v>0.0455</v>
      </c>
      <c r="J35" s="32" t="n">
        <f aca="false">AVERAGE(D35:H35)</f>
        <v>0.11896</v>
      </c>
    </row>
    <row r="36" customFormat="false" ht="15" hidden="false" customHeight="false" outlineLevel="0" collapsed="false">
      <c r="A36" s="78" t="s">
        <v>359</v>
      </c>
      <c r="B36" s="29" t="s">
        <v>452</v>
      </c>
      <c r="C36" s="16" t="s">
        <v>446</v>
      </c>
      <c r="D36" s="79" t="n">
        <v>4.237</v>
      </c>
      <c r="E36" s="79" t="n">
        <v>-2.464</v>
      </c>
      <c r="F36" s="79" t="n">
        <v>-5.301</v>
      </c>
      <c r="G36" s="79" t="n">
        <v>-2.353</v>
      </c>
      <c r="H36" s="79" t="n">
        <v>-1.338</v>
      </c>
      <c r="I36" s="79" t="n">
        <v>0.584</v>
      </c>
    </row>
    <row r="37" customFormat="false" ht="15" hidden="false" customHeight="false" outlineLevel="0" collapsed="false">
      <c r="A37" s="80" t="s">
        <v>359</v>
      </c>
      <c r="B37" s="81" t="s">
        <v>455</v>
      </c>
      <c r="C37" s="82" t="s">
        <v>446</v>
      </c>
      <c r="D37" s="83" t="n">
        <v>57.249</v>
      </c>
      <c r="E37" s="83" t="n">
        <v>42.396</v>
      </c>
      <c r="F37" s="84" t="s">
        <v>456</v>
      </c>
      <c r="G37" s="85" t="n">
        <f aca="false">E37/D37</f>
        <v>0.740554420164544</v>
      </c>
      <c r="H37" s="86"/>
      <c r="I37" s="86"/>
      <c r="J37" s="86"/>
    </row>
    <row r="38" customFormat="false" ht="15" hidden="false" customHeight="false" outlineLevel="0" collapsed="false">
      <c r="A38" s="78" t="s">
        <v>361</v>
      </c>
      <c r="B38" s="29" t="s">
        <v>445</v>
      </c>
      <c r="C38" s="16" t="s">
        <v>446</v>
      </c>
      <c r="D38" s="66" t="n">
        <v>29.553</v>
      </c>
      <c r="E38" s="66" t="n">
        <v>26.724</v>
      </c>
      <c r="F38" s="66" t="n">
        <v>25.253</v>
      </c>
      <c r="G38" s="66" t="n">
        <v>29.279</v>
      </c>
      <c r="H38" s="66" t="n">
        <v>23.113</v>
      </c>
      <c r="I38" s="66" t="n">
        <v>20.375</v>
      </c>
      <c r="J38" s="32" t="n">
        <f aca="false">IFERROR((D38/I38)^(1/5)-1,"n/m")</f>
        <v>0.0772110289984322</v>
      </c>
    </row>
    <row r="39" customFormat="false" ht="15" hidden="false" customHeight="false" outlineLevel="0" collapsed="false">
      <c r="A39" s="78" t="s">
        <v>361</v>
      </c>
      <c r="B39" s="29" t="s">
        <v>447</v>
      </c>
      <c r="C39" s="16" t="s">
        <v>446</v>
      </c>
      <c r="D39" s="79" t="n">
        <v>4.341</v>
      </c>
      <c r="E39" s="79" t="n">
        <v>4.401</v>
      </c>
      <c r="F39" s="79" t="n">
        <v>3.976</v>
      </c>
      <c r="G39" s="79" t="n">
        <v>3.524</v>
      </c>
      <c r="H39" s="79" t="n">
        <v>2.393</v>
      </c>
      <c r="I39" s="79" t="n">
        <v>3.119</v>
      </c>
    </row>
    <row r="40" customFormat="false" ht="15" hidden="false" customHeight="false" outlineLevel="0" collapsed="false">
      <c r="A40" s="78" t="s">
        <v>361</v>
      </c>
      <c r="B40" s="29" t="s">
        <v>448</v>
      </c>
      <c r="C40" s="16" t="s">
        <v>449</v>
      </c>
      <c r="D40" s="79" t="n">
        <v>3.92</v>
      </c>
      <c r="E40" s="79" t="n">
        <v>3.99</v>
      </c>
      <c r="F40" s="79" t="n">
        <v>3.62</v>
      </c>
      <c r="G40" s="79" t="n">
        <v>3.26</v>
      </c>
      <c r="H40" s="79" t="n">
        <v>2.24</v>
      </c>
      <c r="I40" s="79" t="n">
        <v>2.93</v>
      </c>
      <c r="J40" s="32" t="n">
        <f aca="false">IFERROR((D40/I40)^(1/5)-1,"n/m")</f>
        <v>0.059945875694404</v>
      </c>
    </row>
    <row r="41" customFormat="false" ht="15" hidden="false" customHeight="false" outlineLevel="0" collapsed="false">
      <c r="A41" s="78" t="s">
        <v>361</v>
      </c>
      <c r="B41" s="50" t="s">
        <v>450</v>
      </c>
      <c r="C41" s="16" t="s">
        <v>451</v>
      </c>
      <c r="D41" s="33" t="n">
        <v>0.1254</v>
      </c>
      <c r="E41" s="33" t="n">
        <v>0.1361</v>
      </c>
      <c r="F41" s="33" t="n">
        <v>0.1286</v>
      </c>
      <c r="G41" s="33" t="n">
        <v>0.1209</v>
      </c>
      <c r="H41" s="33" t="n">
        <v>0.0857</v>
      </c>
      <c r="I41" s="33" t="n">
        <v>0.1124</v>
      </c>
      <c r="J41" s="32" t="n">
        <f aca="false">AVERAGE(D41:H41)</f>
        <v>0.11934</v>
      </c>
    </row>
    <row r="42" customFormat="false" ht="15" hidden="false" customHeight="false" outlineLevel="0" collapsed="false">
      <c r="A42" s="78" t="s">
        <v>361</v>
      </c>
      <c r="B42" s="29" t="s">
        <v>452</v>
      </c>
      <c r="C42" s="16" t="s">
        <v>446</v>
      </c>
      <c r="D42" s="79" t="n">
        <v>9.802</v>
      </c>
      <c r="E42" s="79" t="n">
        <v>9.788</v>
      </c>
      <c r="F42" s="79" t="n">
        <v>7.553</v>
      </c>
      <c r="G42" s="79" t="n">
        <v>6.302</v>
      </c>
      <c r="H42" s="79" t="n">
        <v>6.169</v>
      </c>
      <c r="I42" s="79" t="n">
        <v>6.696</v>
      </c>
    </row>
    <row r="43" customFormat="false" ht="15" hidden="false" customHeight="false" outlineLevel="0" collapsed="false">
      <c r="A43" s="80" t="s">
        <v>361</v>
      </c>
      <c r="B43" s="81" t="s">
        <v>455</v>
      </c>
      <c r="C43" s="82" t="s">
        <v>446</v>
      </c>
      <c r="D43" s="83" t="n">
        <v>155.72</v>
      </c>
      <c r="E43" s="83" t="n">
        <v>116.853</v>
      </c>
      <c r="F43" s="84" t="s">
        <v>456</v>
      </c>
      <c r="G43" s="85" t="n">
        <f aca="false">E43/D43</f>
        <v>0.750404572309273</v>
      </c>
      <c r="H43" s="86"/>
      <c r="I43" s="86"/>
      <c r="J43" s="86"/>
    </row>
    <row r="44" customFormat="false" ht="15" hidden="false" customHeight="false" outlineLevel="0" collapsed="false">
      <c r="A44" s="78" t="s">
        <v>363</v>
      </c>
      <c r="B44" s="29" t="s">
        <v>445</v>
      </c>
      <c r="C44" s="16" t="s">
        <v>446</v>
      </c>
      <c r="D44" s="66" t="n">
        <v>10.838</v>
      </c>
      <c r="E44" s="66" t="n">
        <v>7.991</v>
      </c>
      <c r="F44" s="66" t="n">
        <v>6.573</v>
      </c>
      <c r="G44" s="66" t="n">
        <v>5.861</v>
      </c>
      <c r="H44" s="66" t="n">
        <v>4.737</v>
      </c>
      <c r="I44" s="66" t="n">
        <v>4.587</v>
      </c>
      <c r="J44" s="32" t="n">
        <f aca="false">IFERROR((D44/I44)^(1/5)-1,"n/m")</f>
        <v>0.18763799002945</v>
      </c>
    </row>
    <row r="45" customFormat="false" ht="15" hidden="false" customHeight="false" outlineLevel="0" collapsed="false">
      <c r="A45" s="78" t="s">
        <v>363</v>
      </c>
      <c r="B45" s="29" t="s">
        <v>447</v>
      </c>
      <c r="C45" s="16" t="s">
        <v>446</v>
      </c>
      <c r="D45" s="79" t="n">
        <v>0.937</v>
      </c>
      <c r="E45" s="79" t="n">
        <v>0.952</v>
      </c>
      <c r="F45" s="79" t="n">
        <v>0.34</v>
      </c>
      <c r="G45" s="79" t="n">
        <v>0.141</v>
      </c>
      <c r="H45" s="79" t="n">
        <v>0.336</v>
      </c>
      <c r="I45" s="79" t="n">
        <v>0.979</v>
      </c>
    </row>
    <row r="46" customFormat="false" ht="15" hidden="false" customHeight="false" outlineLevel="0" collapsed="false">
      <c r="A46" s="78" t="s">
        <v>363</v>
      </c>
      <c r="B46" s="29" t="s">
        <v>448</v>
      </c>
      <c r="C46" s="16" t="s">
        <v>449</v>
      </c>
      <c r="D46" s="79" t="n">
        <v>1.39</v>
      </c>
      <c r="E46" s="79" t="n">
        <v>1.57</v>
      </c>
      <c r="F46" s="79" t="n">
        <v>0.66</v>
      </c>
      <c r="G46" s="79" t="n">
        <v>0.3</v>
      </c>
      <c r="H46" s="79" t="n">
        <v>0.78</v>
      </c>
      <c r="I46" s="79" t="n">
        <v>2.33</v>
      </c>
      <c r="J46" s="32" t="n">
        <f aca="false">IFERROR((D46/I46)^(1/5)-1,"n/m")</f>
        <v>-0.098155261576926</v>
      </c>
    </row>
    <row r="47" customFormat="false" ht="15" hidden="false" customHeight="false" outlineLevel="0" collapsed="false">
      <c r="A47" s="78" t="s">
        <v>363</v>
      </c>
      <c r="B47" s="50" t="s">
        <v>450</v>
      </c>
      <c r="C47" s="16" t="s">
        <v>451</v>
      </c>
      <c r="D47" s="33" t="n">
        <v>0.0253</v>
      </c>
      <c r="E47" s="33" t="n">
        <v>0.0332</v>
      </c>
      <c r="F47" s="33" t="n">
        <v>0.0149</v>
      </c>
      <c r="G47" s="33" t="n">
        <v>0.0074</v>
      </c>
      <c r="H47" s="33" t="n">
        <v>0.02</v>
      </c>
      <c r="I47" s="33" t="n">
        <v>0.0621</v>
      </c>
      <c r="J47" s="32" t="n">
        <f aca="false">AVERAGE(D47:H47)</f>
        <v>0.02016</v>
      </c>
    </row>
    <row r="48" customFormat="false" ht="15" hidden="false" customHeight="false" outlineLevel="0" collapsed="false">
      <c r="A48" s="78" t="s">
        <v>363</v>
      </c>
      <c r="B48" s="29" t="s">
        <v>452</v>
      </c>
      <c r="C48" s="16" t="s">
        <v>446</v>
      </c>
      <c r="D48" s="79" t="n">
        <v>2.882</v>
      </c>
      <c r="E48" s="79" t="n">
        <v>2.256</v>
      </c>
      <c r="F48" s="79" t="n">
        <v>1.602</v>
      </c>
      <c r="G48" s="79" t="n">
        <v>1.329</v>
      </c>
      <c r="H48" s="79" t="n">
        <v>1.275</v>
      </c>
      <c r="I48" s="79" t="n">
        <v>1.365</v>
      </c>
    </row>
    <row r="49" customFormat="false" ht="15" hidden="false" customHeight="false" outlineLevel="0" collapsed="false">
      <c r="A49" s="80" t="s">
        <v>363</v>
      </c>
      <c r="B49" s="81" t="s">
        <v>455</v>
      </c>
      <c r="C49" s="82" t="s">
        <v>446</v>
      </c>
      <c r="D49" s="83" t="n">
        <v>67.303</v>
      </c>
      <c r="E49" s="83" t="n">
        <v>24.1</v>
      </c>
      <c r="F49" s="84" t="s">
        <v>456</v>
      </c>
      <c r="G49" s="85" t="n">
        <f aca="false">E49/D49</f>
        <v>0.35808210629541</v>
      </c>
      <c r="H49" s="86"/>
      <c r="I49" s="86"/>
      <c r="J49" s="86"/>
    </row>
    <row r="50" customFormat="false" ht="15" hidden="false" customHeight="false" outlineLevel="0" collapsed="false">
      <c r="A50" s="78" t="s">
        <v>47</v>
      </c>
      <c r="B50" s="29" t="s">
        <v>445</v>
      </c>
      <c r="C50" s="16" t="s">
        <v>446</v>
      </c>
      <c r="D50" s="66" t="n">
        <v>9.193</v>
      </c>
      <c r="E50" s="66" t="n">
        <v>8.555</v>
      </c>
      <c r="F50" s="66" t="n">
        <v>8.331</v>
      </c>
      <c r="G50" s="66" t="n">
        <v>6.285</v>
      </c>
      <c r="H50" s="66" t="n">
        <v>5.164</v>
      </c>
      <c r="I50" s="66" t="n">
        <v>4.736</v>
      </c>
      <c r="J50" s="32" t="n">
        <f aca="false">IFERROR((D50/I50)^(1/5)-1,"n/m")</f>
        <v>0.141850149998586</v>
      </c>
    </row>
    <row r="51" customFormat="false" ht="15" hidden="false" customHeight="false" outlineLevel="0" collapsed="false">
      <c r="A51" s="78" t="s">
        <v>47</v>
      </c>
      <c r="B51" s="29" t="s">
        <v>447</v>
      </c>
      <c r="C51" s="16" t="s">
        <v>446</v>
      </c>
      <c r="D51" s="79" t="n">
        <v>3.322</v>
      </c>
      <c r="E51" s="79" t="n">
        <v>3.726</v>
      </c>
      <c r="F51" s="79" t="n">
        <v>3.053</v>
      </c>
      <c r="G51" s="79" t="n">
        <v>3.359</v>
      </c>
      <c r="H51" s="79" t="n">
        <v>2.934</v>
      </c>
      <c r="I51" s="79" t="n">
        <v>1.473</v>
      </c>
    </row>
    <row r="52" customFormat="false" ht="15" hidden="false" customHeight="false" outlineLevel="0" collapsed="false">
      <c r="A52" s="78" t="s">
        <v>47</v>
      </c>
      <c r="B52" s="29" t="s">
        <v>448</v>
      </c>
      <c r="C52" s="16" t="s">
        <v>449</v>
      </c>
      <c r="D52" s="79" t="n">
        <v>3.56</v>
      </c>
      <c r="E52" s="79" t="n">
        <v>4.01</v>
      </c>
      <c r="F52" s="79" t="n">
        <v>3.29</v>
      </c>
      <c r="G52" s="79" t="n">
        <v>4.25</v>
      </c>
      <c r="H52" s="79" t="n">
        <v>3.94</v>
      </c>
      <c r="I52" s="79" t="n">
        <v>2.01</v>
      </c>
      <c r="J52" s="32" t="n">
        <f aca="false">IFERROR((D52/I52)^(1/5)-1,"n/m")</f>
        <v>0.12111661301023</v>
      </c>
    </row>
    <row r="53" customFormat="false" ht="15" hidden="false" customHeight="false" outlineLevel="0" collapsed="false">
      <c r="A53" s="78" t="s">
        <v>47</v>
      </c>
      <c r="B53" s="50" t="s">
        <v>450</v>
      </c>
      <c r="C53" s="16" t="s">
        <v>451</v>
      </c>
      <c r="D53" s="33" t="n">
        <v>0.0621</v>
      </c>
      <c r="E53" s="33" t="n">
        <v>0.0696</v>
      </c>
      <c r="F53" s="33" t="n">
        <v>0.0575</v>
      </c>
      <c r="G53" s="33" t="n">
        <v>0.0776</v>
      </c>
      <c r="H53" s="33" t="n">
        <v>0.0899</v>
      </c>
      <c r="I53" s="33" t="n">
        <v>0.0541</v>
      </c>
      <c r="J53" s="32" t="n">
        <f aca="false">AVERAGE(D53:H53)</f>
        <v>0.07134</v>
      </c>
    </row>
    <row r="54" customFormat="false" ht="15" hidden="false" customHeight="false" outlineLevel="0" collapsed="false">
      <c r="A54" s="78" t="s">
        <v>47</v>
      </c>
      <c r="B54" s="29" t="s">
        <v>452</v>
      </c>
      <c r="C54" s="16" t="s">
        <v>446</v>
      </c>
      <c r="D54" s="79" t="n">
        <v>5.008</v>
      </c>
      <c r="E54" s="79" t="n">
        <v>4.912</v>
      </c>
      <c r="F54" s="79" t="n">
        <v>5.373</v>
      </c>
      <c r="G54" s="79" t="n">
        <v>4.126</v>
      </c>
      <c r="H54" s="79" t="n">
        <v>2.996</v>
      </c>
      <c r="I54" s="79" t="n">
        <v>2.937</v>
      </c>
    </row>
    <row r="55" customFormat="false" ht="15" hidden="false" customHeight="false" outlineLevel="0" collapsed="false">
      <c r="A55" s="80" t="s">
        <v>47</v>
      </c>
      <c r="B55" s="81" t="s">
        <v>455</v>
      </c>
      <c r="C55" s="82" t="s">
        <v>446</v>
      </c>
      <c r="D55" s="83" t="n">
        <v>98.724</v>
      </c>
      <c r="E55" s="83" t="n">
        <v>40.97</v>
      </c>
      <c r="F55" s="84" t="s">
        <v>456</v>
      </c>
      <c r="G55" s="85" t="n">
        <f aca="false">E55/D55</f>
        <v>0.414995340545359</v>
      </c>
      <c r="H55" s="86"/>
      <c r="I55" s="86"/>
      <c r="J55" s="86"/>
    </row>
    <row r="56" customFormat="false" ht="15" hidden="false" customHeight="false" outlineLevel="0" collapsed="false">
      <c r="A56" s="78" t="s">
        <v>366</v>
      </c>
      <c r="B56" s="29" t="s">
        <v>445</v>
      </c>
      <c r="C56" s="16" t="s">
        <v>446</v>
      </c>
      <c r="D56" s="66" t="n">
        <v>9.26</v>
      </c>
      <c r="E56" s="66" t="n">
        <v>8.737</v>
      </c>
      <c r="F56" s="66" t="n">
        <v>8.197</v>
      </c>
      <c r="G56" s="66" t="n">
        <v>7.117</v>
      </c>
      <c r="H56" s="66" t="n">
        <v>6.26</v>
      </c>
      <c r="I56" s="66" t="n">
        <v>5.623</v>
      </c>
      <c r="J56" s="32" t="n">
        <f aca="false">IFERROR((D56/I56)^(1/5)-1,"n/m")</f>
        <v>0.10491426516055</v>
      </c>
    </row>
    <row r="57" customFormat="false" ht="15" hidden="false" customHeight="false" outlineLevel="0" collapsed="false">
      <c r="A57" s="78" t="s">
        <v>366</v>
      </c>
      <c r="B57" s="29" t="s">
        <v>447</v>
      </c>
      <c r="C57" s="16" t="s">
        <v>446</v>
      </c>
      <c r="D57" s="79" t="n">
        <v>1.35</v>
      </c>
      <c r="E57" s="79" t="n">
        <v>0.815</v>
      </c>
      <c r="F57" s="79" t="n">
        <v>0.969</v>
      </c>
      <c r="G57" s="79" t="n">
        <v>0.705</v>
      </c>
      <c r="H57" s="79" t="n">
        <v>0.5</v>
      </c>
      <c r="I57" s="79" t="n">
        <v>0.37</v>
      </c>
    </row>
    <row r="58" customFormat="false" ht="15" hidden="false" customHeight="false" outlineLevel="0" collapsed="false">
      <c r="A58" s="78" t="s">
        <v>366</v>
      </c>
      <c r="B58" s="29" t="s">
        <v>448</v>
      </c>
      <c r="C58" s="16" t="s">
        <v>449</v>
      </c>
      <c r="D58" s="79" t="n">
        <v>13.76</v>
      </c>
      <c r="E58" s="79" t="n">
        <v>8.5</v>
      </c>
      <c r="F58" s="79" t="n">
        <v>10.31</v>
      </c>
      <c r="G58" s="79" t="n">
        <v>7.67</v>
      </c>
      <c r="H58" s="79" t="n">
        <v>5.53</v>
      </c>
      <c r="I58" s="79" t="n">
        <v>4.18</v>
      </c>
      <c r="J58" s="32" t="n">
        <f aca="false">IFERROR((D58/I58)^(1/5)-1,"n/m")</f>
        <v>0.269078335835338</v>
      </c>
    </row>
    <row r="59" customFormat="false" ht="15" hidden="false" customHeight="false" outlineLevel="0" collapsed="false">
      <c r="A59" s="78" t="s">
        <v>366</v>
      </c>
      <c r="B59" s="50" t="s">
        <v>450</v>
      </c>
      <c r="C59" s="16" t="s">
        <v>451</v>
      </c>
      <c r="D59" s="33" t="n">
        <v>0.0975</v>
      </c>
      <c r="E59" s="33" t="n">
        <v>0.0627</v>
      </c>
      <c r="F59" s="33" t="n">
        <v>0.0808</v>
      </c>
      <c r="G59" s="33" t="n">
        <v>0.063</v>
      </c>
      <c r="H59" s="33" t="n">
        <v>0.0465</v>
      </c>
      <c r="I59" s="33" t="n">
        <v>0.038</v>
      </c>
      <c r="J59" s="32" t="n">
        <f aca="false">AVERAGE(D59:H59)</f>
        <v>0.0701</v>
      </c>
    </row>
    <row r="60" customFormat="false" ht="15" hidden="false" customHeight="false" outlineLevel="0" collapsed="false">
      <c r="A60" s="78" t="s">
        <v>366</v>
      </c>
      <c r="B60" s="29" t="s">
        <v>452</v>
      </c>
      <c r="C60" s="16" t="s">
        <v>446</v>
      </c>
      <c r="D60" s="79" t="n">
        <v>3.911</v>
      </c>
      <c r="E60" s="79" t="n">
        <v>3.249</v>
      </c>
      <c r="F60" s="79" t="n">
        <v>3.217</v>
      </c>
      <c r="G60" s="79" t="n">
        <v>2.963</v>
      </c>
      <c r="H60" s="79" t="n">
        <v>2.547</v>
      </c>
      <c r="I60" s="79" t="n">
        <v>2.31</v>
      </c>
    </row>
    <row r="61" customFormat="false" ht="15" hidden="false" customHeight="false" outlineLevel="0" collapsed="false">
      <c r="A61" s="80" t="s">
        <v>366</v>
      </c>
      <c r="B61" s="81" t="s">
        <v>455</v>
      </c>
      <c r="C61" s="82" t="s">
        <v>446</v>
      </c>
      <c r="D61" s="83" t="n">
        <v>40.141</v>
      </c>
      <c r="E61" s="83" t="n">
        <v>25.963</v>
      </c>
      <c r="F61" s="84" t="s">
        <v>456</v>
      </c>
      <c r="G61" s="85" t="n">
        <f aca="false">E61/D61</f>
        <v>0.646795047457712</v>
      </c>
      <c r="H61" s="86"/>
      <c r="I61" s="86"/>
      <c r="J61" s="86"/>
    </row>
    <row r="62" customFormat="false" ht="15" hidden="false" customHeight="false" outlineLevel="0" collapsed="false">
      <c r="A62" s="78" t="s">
        <v>38</v>
      </c>
      <c r="B62" s="29" t="s">
        <v>445</v>
      </c>
      <c r="C62" s="16" t="s">
        <v>446</v>
      </c>
      <c r="D62" s="66" t="n">
        <v>33.986</v>
      </c>
      <c r="E62" s="66" t="n">
        <v>33.005</v>
      </c>
      <c r="F62" s="66" t="n">
        <v>32.854</v>
      </c>
      <c r="G62" s="66" t="n">
        <v>33.364</v>
      </c>
      <c r="H62" s="66" t="n">
        <v>30.793</v>
      </c>
      <c r="I62" s="66" t="n">
        <v>27.243</v>
      </c>
      <c r="J62" s="32" t="n">
        <f aca="false">IFERROR((D62/I62)^(1/5)-1,"n/m")</f>
        <v>0.0452231607210163</v>
      </c>
    </row>
    <row r="63" customFormat="false" ht="15" hidden="false" customHeight="false" outlineLevel="0" collapsed="false">
      <c r="A63" s="78" t="s">
        <v>38</v>
      </c>
      <c r="B63" s="29" t="s">
        <v>447</v>
      </c>
      <c r="C63" s="16" t="s">
        <v>446</v>
      </c>
      <c r="D63" s="79" t="n">
        <v>6.898</v>
      </c>
      <c r="E63" s="79" t="n">
        <v>6.565</v>
      </c>
      <c r="F63" s="79" t="n">
        <v>6.199</v>
      </c>
      <c r="G63" s="79" t="n">
        <v>4.147</v>
      </c>
      <c r="H63" s="79" t="n">
        <v>3.826</v>
      </c>
      <c r="I63" s="79" t="n">
        <v>2.501</v>
      </c>
    </row>
    <row r="64" customFormat="false" ht="15" hidden="false" customHeight="false" outlineLevel="0" collapsed="false">
      <c r="A64" s="78" t="s">
        <v>38</v>
      </c>
      <c r="B64" s="29" t="s">
        <v>448</v>
      </c>
      <c r="C64" s="16" t="s">
        <v>449</v>
      </c>
      <c r="D64" s="79" t="n">
        <v>14.61</v>
      </c>
      <c r="E64" s="79" t="n">
        <v>13.62</v>
      </c>
      <c r="F64" s="79" t="n">
        <v>12.59</v>
      </c>
      <c r="G64" s="79" t="n">
        <v>8.23</v>
      </c>
      <c r="H64" s="79" t="n">
        <v>7.33</v>
      </c>
      <c r="I64" s="79" t="n">
        <v>4.71</v>
      </c>
      <c r="J64" s="32" t="n">
        <f aca="false">IFERROR((D64/I64)^(1/5)-1,"n/m")</f>
        <v>0.254081790222709</v>
      </c>
    </row>
    <row r="65" customFormat="false" ht="15" hidden="false" customHeight="false" outlineLevel="0" collapsed="false">
      <c r="A65" s="78" t="s">
        <v>38</v>
      </c>
      <c r="B65" s="50" t="s">
        <v>450</v>
      </c>
      <c r="C65" s="16" t="s">
        <v>451</v>
      </c>
      <c r="D65" s="33" t="n">
        <v>0.1807</v>
      </c>
      <c r="E65" s="33" t="n">
        <v>0.1687</v>
      </c>
      <c r="F65" s="33" t="n">
        <v>0.1555</v>
      </c>
      <c r="G65" s="33" t="n">
        <v>0.0987</v>
      </c>
      <c r="H65" s="33" t="n">
        <v>0.0837</v>
      </c>
      <c r="I65" s="33" t="n">
        <v>0.0518</v>
      </c>
      <c r="J65" s="32" t="n">
        <f aca="false">AVERAGE(D65:H65)</f>
        <v>0.13746</v>
      </c>
    </row>
    <row r="66" customFormat="false" ht="15" hidden="false" customHeight="false" outlineLevel="0" collapsed="false">
      <c r="A66" s="78" t="s">
        <v>38</v>
      </c>
      <c r="B66" s="29" t="s">
        <v>452</v>
      </c>
      <c r="C66" s="16" t="s">
        <v>446</v>
      </c>
      <c r="D66" s="79" t="n">
        <v>10.35</v>
      </c>
      <c r="E66" s="79" t="n">
        <v>9.423</v>
      </c>
      <c r="F66" s="79" t="n">
        <v>9.305</v>
      </c>
      <c r="G66" s="79" t="n">
        <v>8.864</v>
      </c>
      <c r="H66" s="79" t="n">
        <v>9.725</v>
      </c>
      <c r="I66" s="79" t="n">
        <v>7.429</v>
      </c>
    </row>
    <row r="67" customFormat="false" ht="15" hidden="false" customHeight="false" outlineLevel="0" collapsed="false">
      <c r="A67" s="78" t="s">
        <v>38</v>
      </c>
      <c r="B67" s="29" t="s">
        <v>453</v>
      </c>
      <c r="C67" s="16" t="s">
        <v>446</v>
      </c>
      <c r="D67" s="79" t="n">
        <v>5.261</v>
      </c>
      <c r="E67" s="79" t="n">
        <v>4.497</v>
      </c>
      <c r="F67" s="79" t="n">
        <v>3.787</v>
      </c>
      <c r="G67" s="79" t="n">
        <v>3.173</v>
      </c>
      <c r="H67" s="79" t="n">
        <v>3.086</v>
      </c>
      <c r="I67" s="79" t="n">
        <v>3.4</v>
      </c>
    </row>
    <row r="68" customFormat="false" ht="15" hidden="false" customHeight="false" outlineLevel="0" collapsed="false">
      <c r="A68" s="78" t="s">
        <v>38</v>
      </c>
      <c r="B68" s="29" t="s">
        <v>454</v>
      </c>
      <c r="C68" s="16" t="s">
        <v>446</v>
      </c>
      <c r="D68" s="34" t="n">
        <f aca="false">D66-D67</f>
        <v>5.089</v>
      </c>
      <c r="E68" s="34" t="n">
        <f aca="false">E66-E67</f>
        <v>4.926</v>
      </c>
      <c r="F68" s="34" t="n">
        <f aca="false">F66-F67</f>
        <v>5.518</v>
      </c>
      <c r="G68" s="34" t="n">
        <f aca="false">G66-G67</f>
        <v>5.691</v>
      </c>
      <c r="H68" s="34" t="n">
        <f aca="false">H66-H67</f>
        <v>6.639</v>
      </c>
      <c r="I68" s="34" t="n">
        <f aca="false">I66-I67</f>
        <v>4.029</v>
      </c>
    </row>
    <row r="69" customFormat="false" ht="15" hidden="false" customHeight="false" outlineLevel="0" collapsed="false">
      <c r="A69" s="80" t="s">
        <v>38</v>
      </c>
      <c r="B69" s="81" t="s">
        <v>455</v>
      </c>
      <c r="C69" s="82" t="s">
        <v>446</v>
      </c>
      <c r="D69" s="83" t="n">
        <v>86.817</v>
      </c>
      <c r="E69" s="83" t="n">
        <v>47.076</v>
      </c>
      <c r="F69" s="84" t="s">
        <v>456</v>
      </c>
      <c r="G69" s="85" t="n">
        <f aca="false">E69/D69</f>
        <v>0.542244030547013</v>
      </c>
      <c r="H69" s="86"/>
      <c r="I69" s="86"/>
      <c r="J69" s="86"/>
    </row>
    <row r="70" customFormat="false" ht="15" hidden="false" customHeight="false" outlineLevel="0" collapsed="false">
      <c r="A70" s="78" t="s">
        <v>369</v>
      </c>
      <c r="B70" s="29" t="s">
        <v>445</v>
      </c>
      <c r="C70" s="16" t="s">
        <v>446</v>
      </c>
      <c r="D70" s="66" t="n">
        <v>22.669</v>
      </c>
      <c r="E70" s="66" t="n">
        <v>18.682</v>
      </c>
      <c r="F70" s="66" t="n">
        <v>11.812</v>
      </c>
      <c r="G70" s="66" t="n">
        <v>11.915</v>
      </c>
      <c r="H70" s="66" t="n">
        <v>12.222</v>
      </c>
      <c r="I70" s="66" t="n">
        <v>11.497</v>
      </c>
      <c r="J70" s="32" t="n">
        <f aca="false">IFERROR((D70/I70)^(1/5)-1,"n/m")</f>
        <v>0.145432670876605</v>
      </c>
    </row>
    <row r="71" customFormat="false" ht="15" hidden="false" customHeight="false" outlineLevel="0" collapsed="false">
      <c r="A71" s="78" t="s">
        <v>369</v>
      </c>
      <c r="B71" s="29" t="s">
        <v>447</v>
      </c>
      <c r="C71" s="16" t="s">
        <v>446</v>
      </c>
      <c r="D71" s="79" t="n">
        <v>7.085</v>
      </c>
      <c r="E71" s="79" t="n">
        <v>3.348</v>
      </c>
      <c r="F71" s="79" t="n">
        <v>-2.494</v>
      </c>
      <c r="G71" s="79" t="n">
        <v>-0.429</v>
      </c>
      <c r="H71" s="79" t="n">
        <v>1.166</v>
      </c>
      <c r="I71" s="79" t="n">
        <v>2.829</v>
      </c>
    </row>
    <row r="72" customFormat="false" ht="15" hidden="false" customHeight="false" outlineLevel="0" collapsed="false">
      <c r="A72" s="78" t="s">
        <v>369</v>
      </c>
      <c r="B72" s="29" t="s">
        <v>448</v>
      </c>
      <c r="C72" s="16" t="s">
        <v>449</v>
      </c>
      <c r="D72" s="79" t="n">
        <v>6.39</v>
      </c>
      <c r="E72" s="79" t="n">
        <v>2.92</v>
      </c>
      <c r="F72" s="79" t="n">
        <v>-2.97</v>
      </c>
      <c r="G72" s="79" t="n">
        <v>-0.54</v>
      </c>
      <c r="H72" s="79" t="n">
        <v>1.46</v>
      </c>
      <c r="I72" s="79" t="n">
        <v>3.51</v>
      </c>
      <c r="J72" s="32" t="n">
        <f aca="false">IFERROR((D72/I72)^(1/5)-1,"n/m")</f>
        <v>0.127298030737116</v>
      </c>
    </row>
    <row r="73" customFormat="false" ht="15" hidden="false" customHeight="false" outlineLevel="0" collapsed="false">
      <c r="A73" s="78" t="s">
        <v>369</v>
      </c>
      <c r="B73" s="50" t="s">
        <v>450</v>
      </c>
      <c r="C73" s="16" t="s">
        <v>451</v>
      </c>
      <c r="D73" s="33" t="n">
        <v>0.2221</v>
      </c>
      <c r="E73" s="33" t="n">
        <v>0.1113</v>
      </c>
      <c r="F73" s="33" t="n">
        <v>-0.1042</v>
      </c>
      <c r="G73" s="33" t="n">
        <v>-0.0222</v>
      </c>
      <c r="H73" s="33" t="n">
        <v>0.0493</v>
      </c>
      <c r="I73" s="33" t="n">
        <v>0.12</v>
      </c>
      <c r="J73" s="32" t="n">
        <f aca="false">AVERAGE(D73:H73)</f>
        <v>0.05126</v>
      </c>
    </row>
    <row r="74" customFormat="false" ht="15" hidden="false" customHeight="false" outlineLevel="0" collapsed="false">
      <c r="A74" s="78" t="s">
        <v>369</v>
      </c>
      <c r="B74" s="29" t="s">
        <v>452</v>
      </c>
      <c r="C74" s="16" t="s">
        <v>446</v>
      </c>
      <c r="D74" s="79" t="n">
        <v>10.334</v>
      </c>
      <c r="E74" s="79" t="n">
        <v>6.363</v>
      </c>
      <c r="F74" s="79" t="n">
        <v>2.763</v>
      </c>
      <c r="G74" s="79" t="n">
        <v>3.22</v>
      </c>
      <c r="H74" s="79" t="n">
        <v>4.279</v>
      </c>
      <c r="I74" s="79" t="n">
        <v>4.882</v>
      </c>
    </row>
    <row r="75" customFormat="false" ht="15" hidden="false" customHeight="false" outlineLevel="0" collapsed="false">
      <c r="A75" s="78" t="s">
        <v>369</v>
      </c>
      <c r="B75" s="29" t="s">
        <v>453</v>
      </c>
      <c r="C75" s="16" t="s">
        <v>446</v>
      </c>
      <c r="D75" s="79" t="n">
        <v>3.035</v>
      </c>
      <c r="E75" s="79" t="n">
        <v>3.402</v>
      </c>
      <c r="F75" s="79" t="n">
        <v>2.666</v>
      </c>
      <c r="G75" s="79" t="n">
        <v>2.131</v>
      </c>
      <c r="H75" s="79" t="n">
        <v>1.653</v>
      </c>
      <c r="I75" s="79" t="n">
        <v>1.302</v>
      </c>
    </row>
    <row r="76" customFormat="false" ht="15" hidden="false" customHeight="false" outlineLevel="0" collapsed="false">
      <c r="A76" s="78" t="s">
        <v>369</v>
      </c>
      <c r="B76" s="29" t="s">
        <v>454</v>
      </c>
      <c r="C76" s="16" t="s">
        <v>446</v>
      </c>
      <c r="D76" s="34" t="n">
        <f aca="false">D74-D75</f>
        <v>7.299</v>
      </c>
      <c r="E76" s="34" t="n">
        <f aca="false">E74-E75</f>
        <v>2.961</v>
      </c>
      <c r="F76" s="34" t="n">
        <f aca="false">F74-F75</f>
        <v>0.097</v>
      </c>
      <c r="G76" s="34" t="n">
        <f aca="false">G74-G75</f>
        <v>1.089</v>
      </c>
      <c r="H76" s="34" t="n">
        <f aca="false">H74-H75</f>
        <v>2.626</v>
      </c>
      <c r="I76" s="34" t="n">
        <f aca="false">I74-I75</f>
        <v>3.58</v>
      </c>
    </row>
    <row r="77" customFormat="false" ht="15" hidden="false" customHeight="false" outlineLevel="0" collapsed="false">
      <c r="A77" s="80" t="s">
        <v>369</v>
      </c>
      <c r="B77" s="81" t="s">
        <v>455</v>
      </c>
      <c r="C77" s="82" t="s">
        <v>446</v>
      </c>
      <c r="D77" s="83" t="n">
        <v>57.121</v>
      </c>
      <c r="E77" s="83" t="n">
        <v>23.079</v>
      </c>
      <c r="F77" s="84" t="s">
        <v>456</v>
      </c>
      <c r="G77" s="85" t="n">
        <f aca="false">E77/D77</f>
        <v>0.404037044169395</v>
      </c>
      <c r="H77" s="86"/>
      <c r="I77" s="86"/>
      <c r="J77" s="86"/>
    </row>
    <row r="78" customFormat="false" ht="15" hidden="false" customHeight="false" outlineLevel="0" collapsed="false">
      <c r="A78" s="78" t="s">
        <v>371</v>
      </c>
      <c r="B78" s="29" t="s">
        <v>445</v>
      </c>
      <c r="C78" s="16" t="s">
        <v>446</v>
      </c>
      <c r="D78" s="66" t="n">
        <v>25.915</v>
      </c>
      <c r="E78" s="66" t="n">
        <v>25.455</v>
      </c>
      <c r="F78" s="66" t="n">
        <v>22.855</v>
      </c>
      <c r="G78" s="66" t="n">
        <v>22.78</v>
      </c>
      <c r="H78" s="66" t="n">
        <v>22.845</v>
      </c>
      <c r="I78" s="66" t="n">
        <v>14.198</v>
      </c>
      <c r="J78" s="32" t="n">
        <f aca="false">IFERROR((D78/I78)^(1/5)-1,"n/m")</f>
        <v>0.127884967157037</v>
      </c>
    </row>
    <row r="79" customFormat="false" ht="15" hidden="false" customHeight="false" outlineLevel="0" collapsed="false">
      <c r="A79" s="78" t="s">
        <v>371</v>
      </c>
      <c r="B79" s="29" t="s">
        <v>447</v>
      </c>
      <c r="C79" s="16" t="s">
        <v>446</v>
      </c>
      <c r="D79" s="79" t="n">
        <v>2.197</v>
      </c>
      <c r="E79" s="79" t="n">
        <v>1.883</v>
      </c>
      <c r="F79" s="79" t="n">
        <v>1.842</v>
      </c>
      <c r="G79" s="79" t="n">
        <v>3.461</v>
      </c>
      <c r="H79" s="79" t="n">
        <v>4.299</v>
      </c>
      <c r="I79" s="79" t="n">
        <v>0.596</v>
      </c>
    </row>
    <row r="80" customFormat="false" ht="15" hidden="false" customHeight="false" outlineLevel="0" collapsed="false">
      <c r="A80" s="78" t="s">
        <v>371</v>
      </c>
      <c r="B80" s="29" t="s">
        <v>448</v>
      </c>
      <c r="C80" s="16" t="s">
        <v>449</v>
      </c>
      <c r="D80" s="79" t="n">
        <v>1.52</v>
      </c>
      <c r="E80" s="79" t="n">
        <v>1.3</v>
      </c>
      <c r="F80" s="79" t="n">
        <v>1.28</v>
      </c>
      <c r="G80" s="79" t="n">
        <v>2.39</v>
      </c>
      <c r="H80" s="79" t="n">
        <v>2.9</v>
      </c>
      <c r="I80" s="79" t="n">
        <v>0.41</v>
      </c>
      <c r="J80" s="32" t="n">
        <f aca="false">IFERROR((D80/I80)^(1/5)-1,"n/m")</f>
        <v>0.299606713771197</v>
      </c>
    </row>
    <row r="81" customFormat="false" ht="15" hidden="false" customHeight="false" outlineLevel="0" collapsed="false">
      <c r="A81" s="78" t="s">
        <v>371</v>
      </c>
      <c r="B81" s="50" t="s">
        <v>450</v>
      </c>
      <c r="C81" s="16" t="s">
        <v>451</v>
      </c>
      <c r="D81" s="33" t="n">
        <v>0.1204</v>
      </c>
      <c r="E81" s="33" t="n">
        <v>0.1099</v>
      </c>
      <c r="F81" s="33" t="n">
        <v>0.1142</v>
      </c>
      <c r="G81" s="33" t="n">
        <v>0.2344</v>
      </c>
      <c r="H81" s="33" t="n">
        <v>0.356</v>
      </c>
      <c r="I81" s="33" t="n">
        <v>0.0612</v>
      </c>
      <c r="J81" s="32" t="n">
        <f aca="false">AVERAGE(D81:H81)</f>
        <v>0.18698</v>
      </c>
    </row>
    <row r="82" customFormat="false" ht="15" hidden="false" customHeight="false" outlineLevel="0" collapsed="false">
      <c r="A82" s="78" t="s">
        <v>371</v>
      </c>
      <c r="B82" s="29" t="s">
        <v>452</v>
      </c>
      <c r="C82" s="16" t="s">
        <v>446</v>
      </c>
      <c r="D82" s="79" t="n">
        <v>5.61</v>
      </c>
      <c r="E82" s="79" t="n">
        <v>7.16</v>
      </c>
      <c r="F82" s="79" t="n">
        <v>5.279</v>
      </c>
      <c r="G82" s="79" t="n">
        <v>5.139</v>
      </c>
      <c r="H82" s="79" t="n">
        <v>7.715</v>
      </c>
      <c r="I82" s="79" t="n">
        <v>3.017</v>
      </c>
    </row>
    <row r="83" customFormat="false" ht="15" hidden="false" customHeight="false" outlineLevel="0" collapsed="false">
      <c r="A83" s="78" t="s">
        <v>371</v>
      </c>
      <c r="B83" s="29" t="s">
        <v>453</v>
      </c>
      <c r="C83" s="16" t="s">
        <v>446</v>
      </c>
      <c r="D83" s="79" t="n">
        <v>4.494</v>
      </c>
      <c r="E83" s="79" t="n">
        <v>4.808</v>
      </c>
      <c r="F83" s="79" t="n">
        <v>4.824</v>
      </c>
      <c r="G83" s="79" t="n">
        <v>3.469</v>
      </c>
      <c r="H83" s="79" t="n">
        <v>2.115</v>
      </c>
      <c r="I83" s="79" t="n">
        <v>1.961</v>
      </c>
    </row>
    <row r="84" customFormat="false" ht="15" hidden="false" customHeight="false" outlineLevel="0" collapsed="false">
      <c r="A84" s="78" t="s">
        <v>371</v>
      </c>
      <c r="B84" s="29" t="s">
        <v>454</v>
      </c>
      <c r="C84" s="16" t="s">
        <v>446</v>
      </c>
      <c r="D84" s="34" t="n">
        <f aca="false">D82-D83</f>
        <v>1.116</v>
      </c>
      <c r="E84" s="34" t="n">
        <f aca="false">E82-E83</f>
        <v>2.352</v>
      </c>
      <c r="F84" s="34" t="n">
        <f aca="false">F82-F83</f>
        <v>0.455</v>
      </c>
      <c r="G84" s="34" t="n">
        <f aca="false">G82-G83</f>
        <v>1.67</v>
      </c>
      <c r="H84" s="34" t="n">
        <f aca="false">H82-H83</f>
        <v>5.6</v>
      </c>
      <c r="I84" s="34" t="n">
        <f aca="false">I82-I83</f>
        <v>1.056</v>
      </c>
    </row>
    <row r="85" customFormat="false" ht="15" hidden="false" customHeight="false" outlineLevel="0" collapsed="false">
      <c r="A85" s="80" t="s">
        <v>371</v>
      </c>
      <c r="B85" s="81" t="s">
        <v>455</v>
      </c>
      <c r="C85" s="82" t="s">
        <v>446</v>
      </c>
      <c r="D85" s="83" t="n">
        <v>58.167</v>
      </c>
      <c r="E85" s="83" t="n">
        <v>27.401</v>
      </c>
      <c r="F85" s="84" t="s">
        <v>456</v>
      </c>
      <c r="G85" s="85" t="n">
        <f aca="false">E85/D85</f>
        <v>0.471074664328571</v>
      </c>
      <c r="H85" s="86"/>
      <c r="I85" s="86"/>
      <c r="J85" s="8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9" min="18" style="0" width="8"/>
    <col collapsed="false" customWidth="true" hidden="false" outlineLevel="0" max="20" min="20" style="0" width="10"/>
    <col collapsed="false" customWidth="true" hidden="false" outlineLevel="0" max="23" min="21" style="0" width="11"/>
    <col collapsed="false" customWidth="true" hidden="false" outlineLevel="0" max="24" min="24" style="0" width="9"/>
    <col collapsed="false" customWidth="true" hidden="false" outlineLevel="0" max="26" min="25" style="0" width="10"/>
    <col collapsed="false" customWidth="true" hidden="false" outlineLevel="0" max="27" min="27" style="0" width="11"/>
    <col collapsed="false" customWidth="true" hidden="false" outlineLevel="0" max="28" min="28" style="0" width="30"/>
  </cols>
  <sheetData>
    <row r="1" customFormat="false" ht="20.85" hidden="false" customHeight="false" outlineLevel="0" collapsed="false">
      <c r="A1" s="9" t="s">
        <v>457</v>
      </c>
    </row>
    <row r="2" customFormat="false" ht="15" hidden="false" customHeight="false" outlineLevel="0" collapsed="false">
      <c r="A2" s="77" t="s">
        <v>458</v>
      </c>
    </row>
    <row r="4" customFormat="false" ht="15" hidden="false" customHeight="false" outlineLevel="0" collapsed="false">
      <c r="A4" s="11" t="s">
        <v>459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customFormat="false" ht="15" hidden="false" customHeight="false" outlineLevel="0" collapsed="false">
      <c r="A5" s="29" t="s">
        <v>460</v>
      </c>
      <c r="B5" s="29"/>
      <c r="C5" s="29"/>
      <c r="D5" s="87" t="n">
        <f aca="false">Macro!C8</f>
        <v>0.046</v>
      </c>
    </row>
    <row r="6" customFormat="false" ht="15" hidden="false" customHeight="false" outlineLevel="0" collapsed="false">
      <c r="A6" s="29" t="s">
        <v>461</v>
      </c>
      <c r="B6" s="29"/>
      <c r="C6" s="29"/>
      <c r="D6" s="52" t="n">
        <v>0.045</v>
      </c>
    </row>
    <row r="7" customFormat="false" ht="15" hidden="false" customHeight="false" outlineLevel="0" collapsed="false">
      <c r="A7" s="29" t="s">
        <v>462</v>
      </c>
      <c r="B7" s="29"/>
      <c r="C7" s="29"/>
      <c r="D7" s="52" t="n">
        <v>0.25</v>
      </c>
    </row>
    <row r="8" customFormat="false" ht="15" hidden="false" customHeight="false" outlineLevel="0" collapsed="false">
      <c r="A8" s="29" t="s">
        <v>463</v>
      </c>
      <c r="B8" s="29"/>
      <c r="C8" s="29"/>
      <c r="D8" s="52" t="n">
        <v>0.15</v>
      </c>
    </row>
    <row r="9" customFormat="false" ht="15" hidden="false" customHeight="false" outlineLevel="0" collapsed="false">
      <c r="A9" s="29" t="s">
        <v>464</v>
      </c>
      <c r="B9" s="29"/>
      <c r="C9" s="29"/>
      <c r="D9" s="52" t="n">
        <v>0.4</v>
      </c>
    </row>
    <row r="10" customFormat="false" ht="15" hidden="false" customHeight="false" outlineLevel="0" collapsed="false">
      <c r="A10" s="29" t="s">
        <v>465</v>
      </c>
      <c r="B10" s="29"/>
      <c r="C10" s="29"/>
      <c r="D10" s="52" t="n">
        <v>0.2</v>
      </c>
    </row>
    <row r="11" customFormat="false" ht="15" hidden="false" customHeight="false" outlineLevel="0" collapsed="false">
      <c r="A11" s="29" t="s">
        <v>466</v>
      </c>
      <c r="B11" s="29"/>
      <c r="C11" s="29"/>
      <c r="D11" s="52" t="n">
        <v>0.15</v>
      </c>
    </row>
    <row r="12" customFormat="false" ht="15" hidden="false" customHeight="false" outlineLevel="0" collapsed="false">
      <c r="A12" s="29" t="s">
        <v>467</v>
      </c>
      <c r="B12" s="29"/>
      <c r="C12" s="29"/>
      <c r="D12" s="52" t="n">
        <v>-0.1</v>
      </c>
    </row>
    <row r="13" customFormat="false" ht="15" hidden="false" customHeight="false" outlineLevel="0" collapsed="false">
      <c r="A13" s="23" t="s">
        <v>468</v>
      </c>
      <c r="D13" s="75" t="n">
        <f aca="false">SUM(D7:D10)</f>
        <v>1</v>
      </c>
    </row>
    <row r="15" customFormat="false" ht="39.75" hidden="false" customHeight="true" outlineLevel="0" collapsed="false">
      <c r="A15" s="14" t="s">
        <v>30</v>
      </c>
      <c r="B15" s="14" t="s">
        <v>469</v>
      </c>
      <c r="C15" s="14" t="s">
        <v>470</v>
      </c>
      <c r="D15" s="15" t="s">
        <v>471</v>
      </c>
      <c r="E15" s="15" t="s">
        <v>392</v>
      </c>
      <c r="F15" s="14" t="s">
        <v>472</v>
      </c>
      <c r="G15" s="14" t="s">
        <v>473</v>
      </c>
      <c r="H15" s="14" t="s">
        <v>474</v>
      </c>
      <c r="I15" s="15" t="s">
        <v>475</v>
      </c>
      <c r="J15" s="14" t="s">
        <v>476</v>
      </c>
      <c r="K15" s="14" t="s">
        <v>477</v>
      </c>
      <c r="L15" s="14" t="s">
        <v>478</v>
      </c>
      <c r="M15" s="15" t="s">
        <v>479</v>
      </c>
      <c r="N15" s="14" t="s">
        <v>480</v>
      </c>
      <c r="O15" s="14" t="s">
        <v>481</v>
      </c>
      <c r="P15" s="14" t="s">
        <v>482</v>
      </c>
      <c r="Q15" s="14" t="s">
        <v>483</v>
      </c>
      <c r="R15" s="14" t="s">
        <v>484</v>
      </c>
      <c r="S15" s="15" t="s">
        <v>485</v>
      </c>
      <c r="T15" s="14" t="s">
        <v>486</v>
      </c>
      <c r="U15" s="14" t="s">
        <v>487</v>
      </c>
      <c r="V15" s="15" t="s">
        <v>34</v>
      </c>
      <c r="W15" s="15" t="s">
        <v>33</v>
      </c>
      <c r="X15" s="15" t="s">
        <v>488</v>
      </c>
      <c r="Y15" s="15" t="s">
        <v>489</v>
      </c>
      <c r="Z15" s="15" t="s">
        <v>490</v>
      </c>
      <c r="AA15" s="15" t="s">
        <v>491</v>
      </c>
      <c r="AB15" s="15" t="s">
        <v>492</v>
      </c>
    </row>
    <row r="16" customFormat="false" ht="39.75" hidden="false" customHeight="true" outlineLevel="0" collapsed="false">
      <c r="A16" s="17" t="s">
        <v>41</v>
      </c>
      <c r="B16" s="16" t="s">
        <v>493</v>
      </c>
      <c r="C16" s="20" t="n">
        <f aca="false">Comps!E5/Comps!K5</f>
        <v>346.053691275168</v>
      </c>
      <c r="D16" s="44" t="n">
        <f aca="false">W16/C16</f>
        <v>1.49</v>
      </c>
      <c r="E16" s="88" t="n">
        <f aca="false">Comps!V5</f>
        <v>1.46</v>
      </c>
      <c r="F16" s="89" t="n">
        <f aca="false">C16*E16</f>
        <v>505.238389261745</v>
      </c>
      <c r="G16" s="16" t="s">
        <v>494</v>
      </c>
      <c r="H16" s="89" t="n">
        <f aca="false">C16</f>
        <v>346.053691275168</v>
      </c>
      <c r="I16" s="90" t="n">
        <v>1.48</v>
      </c>
      <c r="J16" s="89" t="n">
        <f aca="false">H16*I16</f>
        <v>512.159463087248</v>
      </c>
      <c r="K16" s="35" t="s">
        <v>495</v>
      </c>
      <c r="L16" s="20" t="n">
        <f aca="false">Comps!I5</f>
        <v>22.163</v>
      </c>
      <c r="M16" s="52" t="n">
        <v>1</v>
      </c>
      <c r="N16" s="89" t="n">
        <f aca="false">L16*M16</f>
        <v>22.163</v>
      </c>
      <c r="O16" s="91" t="n">
        <v>0.85</v>
      </c>
      <c r="P16" s="32" t="n">
        <f aca="false">$D$5+O16*$D$6</f>
        <v>0.08425</v>
      </c>
      <c r="Q16" s="52" t="n">
        <v>0.06</v>
      </c>
      <c r="R16" s="52" t="n">
        <v>0.03</v>
      </c>
      <c r="S16" s="65" t="n">
        <v>77.8</v>
      </c>
      <c r="T16" s="89" t="n">
        <f aca="false">IF(ABS(P16-Q16)&lt;0.0001,N16*5/(1+P16),N16/(P16-Q16)*(1-((1+Q16)/(1+P16))^5))+N16*(1+Q16)^4*(1+R16)/(P16-R16)/(1+P16)^5+S16</f>
        <v>530.054963446414</v>
      </c>
      <c r="U16" s="65" t="n">
        <v>547.67</v>
      </c>
      <c r="V16" s="92" t="n">
        <f aca="false">F16*$D$7+J16*$D$8+T16*$D$9+U16*$D$10</f>
        <v>524.689502157089</v>
      </c>
      <c r="W16" s="20" t="n">
        <f aca="false">Comps!E5</f>
        <v>515.62</v>
      </c>
      <c r="X16" s="75" t="n">
        <f aca="false">V16/W16-1</f>
        <v>0.0175895080817055</v>
      </c>
      <c r="Y16" s="36" t="str">
        <f aca="false">IF(X16&gt;=$D$11,"低估",IF(X16&lt;=$D$12,"高估","合理"))</f>
        <v>合理</v>
      </c>
      <c r="Z16" s="32" t="n">
        <f aca="false">P16-N16*(1+Q16)/W16</f>
        <v>0.0386878030332415</v>
      </c>
      <c r="AA16" s="32" t="n">
        <f aca="false">Z16-R16</f>
        <v>0.00868780303324153</v>
      </c>
      <c r="AB16" s="51" t="s">
        <v>496</v>
      </c>
    </row>
    <row r="17" customFormat="false" ht="39.75" hidden="false" customHeight="true" outlineLevel="0" collapsed="false">
      <c r="A17" s="61" t="s">
        <v>50</v>
      </c>
      <c r="B17" s="72" t="s">
        <v>497</v>
      </c>
      <c r="C17" s="93" t="n">
        <f aca="false">Comps!E6/Comps!H6</f>
        <v>23.9388928828181</v>
      </c>
      <c r="D17" s="70" t="n">
        <f aca="false">W17/C17</f>
        <v>13.91</v>
      </c>
      <c r="E17" s="94" t="n">
        <f aca="false">Comps!V6</f>
        <v>13.07</v>
      </c>
      <c r="F17" s="95" t="n">
        <f aca="false">C17*E17</f>
        <v>312.881329978433</v>
      </c>
      <c r="G17" s="72" t="s">
        <v>497</v>
      </c>
      <c r="H17" s="95" t="n">
        <f aca="false">C17</f>
        <v>23.9388928828181</v>
      </c>
      <c r="I17" s="39" t="n">
        <v>11.99</v>
      </c>
      <c r="J17" s="95" t="n">
        <f aca="false">H17*I17</f>
        <v>287.027325664989</v>
      </c>
      <c r="K17" s="96" t="s">
        <v>498</v>
      </c>
      <c r="L17" s="93" t="n">
        <f aca="false">Comps!I6</f>
        <v>24.46</v>
      </c>
      <c r="M17" s="41" t="n">
        <v>0.714</v>
      </c>
      <c r="N17" s="95" t="n">
        <f aca="false">L17*M17</f>
        <v>17.46444</v>
      </c>
      <c r="O17" s="97" t="n">
        <v>1.1</v>
      </c>
      <c r="P17" s="40" t="n">
        <f aca="false">$D$5+O17*$D$6</f>
        <v>0.0955</v>
      </c>
      <c r="Q17" s="41" t="n">
        <v>0.05</v>
      </c>
      <c r="R17" s="41" t="n">
        <v>0.035</v>
      </c>
      <c r="S17" s="68" t="n">
        <v>0</v>
      </c>
      <c r="T17" s="95" t="n">
        <f aca="false">IF(ABS(P17-Q17)&lt;0.0001,N17*5/(1+P17),N17/(P17-Q17)*(1-((1+Q17)/(1+P17))^5))+N17*(1+Q17)^4*(1+R17)/(P17-R17)/(1+P17)^5+S17</f>
        <v>303.520666379402</v>
      </c>
      <c r="U17" s="68" t="n">
        <v>372.68</v>
      </c>
      <c r="V17" s="98" t="n">
        <f aca="false">F17*$D$7+J17*$D$8+T17*$D$9+U17*$D$10</f>
        <v>317.218697896117</v>
      </c>
      <c r="W17" s="93" t="n">
        <f aca="false">Comps!E6</f>
        <v>332.99</v>
      </c>
      <c r="X17" s="99" t="n">
        <f aca="false">V17/W17-1</f>
        <v>-0.0473626898822268</v>
      </c>
      <c r="Y17" s="100" t="str">
        <f aca="false">IF(X17&gt;=$D$11,"低估",IF(X17&lt;=$D$12,"高估","合理"))</f>
        <v>合理</v>
      </c>
      <c r="Z17" s="40" t="n">
        <f aca="false">P17-N17*(1+Q17)/W17</f>
        <v>0.040430292200967</v>
      </c>
      <c r="AA17" s="40" t="n">
        <f aca="false">Z17-R17</f>
        <v>0.00543029220096699</v>
      </c>
      <c r="AB17" s="57" t="s">
        <v>499</v>
      </c>
    </row>
    <row r="18" customFormat="false" ht="39.75" hidden="false" customHeight="true" outlineLevel="0" collapsed="false">
      <c r="A18" s="17" t="s">
        <v>44</v>
      </c>
      <c r="B18" s="16" t="s">
        <v>497</v>
      </c>
      <c r="C18" s="20" t="n">
        <f aca="false">Comps!E7/Comps!H7</f>
        <v>11.6414980368469</v>
      </c>
      <c r="D18" s="44" t="n">
        <f aca="false">W18/C18</f>
        <v>33.11</v>
      </c>
      <c r="E18" s="88" t="n">
        <f aca="false">Comps!V7</f>
        <v>31.33</v>
      </c>
      <c r="F18" s="89" t="n">
        <f aca="false">C18*E18</f>
        <v>364.728133494413</v>
      </c>
      <c r="G18" s="16" t="s">
        <v>497</v>
      </c>
      <c r="H18" s="89" t="n">
        <f aca="false">C18</f>
        <v>11.6414980368469</v>
      </c>
      <c r="I18" s="90" t="n">
        <v>31.75</v>
      </c>
      <c r="J18" s="89" t="n">
        <f aca="false">H18*I18</f>
        <v>369.617562669888</v>
      </c>
      <c r="K18" s="16" t="s">
        <v>500</v>
      </c>
      <c r="L18" s="20" t="n">
        <f aca="false">Comps!I7</f>
        <v>14.493</v>
      </c>
      <c r="M18" s="52" t="n">
        <v>1</v>
      </c>
      <c r="N18" s="89" t="n">
        <f aca="false">L18*M18</f>
        <v>14.493</v>
      </c>
      <c r="O18" s="91" t="n">
        <v>0.95</v>
      </c>
      <c r="P18" s="32" t="n">
        <f aca="false">$D$5+O18*$D$6</f>
        <v>0.08875</v>
      </c>
      <c r="Q18" s="52" t="n">
        <v>0.11</v>
      </c>
      <c r="R18" s="52" t="n">
        <v>0.04</v>
      </c>
      <c r="S18" s="65" t="n">
        <v>0</v>
      </c>
      <c r="T18" s="89" t="n">
        <f aca="false">IF(ABS(P18-Q18)&lt;0.0001,N18*5/(1+P18),N18/(P18-Q18)*(1-((1+Q18)/(1+P18))^5))+N18*(1+Q18)^4*(1+R18)/(P18-R18)/(1+P18)^5+S18</f>
        <v>376.016309903</v>
      </c>
      <c r="U18" s="65" t="n">
        <v>419.63</v>
      </c>
      <c r="V18" s="92" t="n">
        <f aca="false">F18*$D$7+J18*$D$8+T18*$D$9+U18*$D$10</f>
        <v>380.957191735286</v>
      </c>
      <c r="W18" s="20" t="n">
        <f aca="false">Comps!E7</f>
        <v>385.45</v>
      </c>
      <c r="X18" s="75" t="n">
        <f aca="false">V18/W18-1</f>
        <v>-0.011656007951002</v>
      </c>
      <c r="Y18" s="36" t="str">
        <f aca="false">IF(X18&gt;=$D$11,"低估",IF(X18&lt;=$D$12,"高估","合理"))</f>
        <v>合理</v>
      </c>
      <c r="Z18" s="32" t="n">
        <f aca="false">P18-N18*(1+Q18)/W18</f>
        <v>0.0470137696199248</v>
      </c>
      <c r="AA18" s="32" t="n">
        <f aca="false">Z18-R18</f>
        <v>0.00701376961992475</v>
      </c>
      <c r="AB18" s="51" t="s">
        <v>501</v>
      </c>
    </row>
    <row r="19" customFormat="false" ht="39.75" hidden="false" customHeight="true" outlineLevel="0" collapsed="false">
      <c r="A19" s="61" t="s">
        <v>53</v>
      </c>
      <c r="B19" s="72" t="s">
        <v>497</v>
      </c>
      <c r="C19" s="93" t="n">
        <f aca="false">Comps!E8/Comps!H8</f>
        <v>4.4573732718894</v>
      </c>
      <c r="D19" s="70" t="n">
        <f aca="false">W19/C19</f>
        <v>17.36</v>
      </c>
      <c r="E19" s="94" t="n">
        <f aca="false">Comps!V8</f>
        <v>25.22</v>
      </c>
      <c r="F19" s="95" t="n">
        <f aca="false">C19*E19</f>
        <v>112.414953917051</v>
      </c>
      <c r="G19" s="72" t="s">
        <v>497</v>
      </c>
      <c r="H19" s="95" t="n">
        <f aca="false">C19</f>
        <v>4.4573732718894</v>
      </c>
      <c r="I19" s="39" t="n">
        <v>18.73</v>
      </c>
      <c r="J19" s="95" t="n">
        <f aca="false">H19*I19</f>
        <v>83.4866013824885</v>
      </c>
      <c r="K19" s="72" t="s">
        <v>502</v>
      </c>
      <c r="L19" s="93" t="n">
        <f aca="false">Comps!I8</f>
        <v>4.155</v>
      </c>
      <c r="M19" s="41" t="n">
        <v>0.62</v>
      </c>
      <c r="N19" s="95" t="n">
        <f aca="false">L19*M19</f>
        <v>2.5761</v>
      </c>
      <c r="O19" s="97" t="n">
        <v>0.8</v>
      </c>
      <c r="P19" s="40" t="n">
        <f aca="false">$D$5+O19*$D$6</f>
        <v>0.082</v>
      </c>
      <c r="Q19" s="41" t="n">
        <v>0.065</v>
      </c>
      <c r="R19" s="41" t="n">
        <v>0.04</v>
      </c>
      <c r="S19" s="68" t="n">
        <v>0</v>
      </c>
      <c r="T19" s="95" t="n">
        <f aca="false">IF(ABS(P19-Q19)&lt;0.0001,N19*5/(1+P19),N19/(P19-Q19)*(1-((1+Q19)/(1+P19))^5))+N19*(1+Q19)^4*(1+R19)/(P19-R19)/(1+P19)^5+S19</f>
        <v>66.8722455636122</v>
      </c>
      <c r="U19" s="68" t="n">
        <v>97.05</v>
      </c>
      <c r="V19" s="98" t="n">
        <f aca="false">F19*$D$7+J19*$D$8+T19*$D$9+U19*$D$10</f>
        <v>86.7856269120808</v>
      </c>
      <c r="W19" s="93" t="n">
        <f aca="false">Comps!E8</f>
        <v>77.38</v>
      </c>
      <c r="X19" s="99" t="n">
        <f aca="false">V19/W19-1</f>
        <v>0.121551136108566</v>
      </c>
      <c r="Y19" s="100" t="str">
        <f aca="false">IF(X19&gt;=$D$11,"低估",IF(X19&lt;=$D$12,"高估","合理"))</f>
        <v>合理</v>
      </c>
      <c r="Z19" s="40" t="n">
        <f aca="false">P19-N19*(1+Q19)/W19</f>
        <v>0.0465445011630912</v>
      </c>
      <c r="AA19" s="40" t="n">
        <f aca="false">Z19-R19</f>
        <v>0.00654450116309122</v>
      </c>
      <c r="AB19" s="51" t="s">
        <v>503</v>
      </c>
    </row>
    <row r="20" customFormat="false" ht="39.75" hidden="false" customHeight="true" outlineLevel="0" collapsed="false">
      <c r="A20" s="17" t="s">
        <v>359</v>
      </c>
      <c r="B20" s="16" t="s">
        <v>497</v>
      </c>
      <c r="C20" s="20" t="n">
        <f aca="false">Comps!E9/Comps!H9</f>
        <v>9.77919947506562</v>
      </c>
      <c r="D20" s="44" t="n">
        <f aca="false">W20/C20</f>
        <v>30.48</v>
      </c>
      <c r="E20" s="88" t="n">
        <f aca="false">Comps!V9</f>
        <v>28.93</v>
      </c>
      <c r="F20" s="89" t="n">
        <f aca="false">C20*E20</f>
        <v>282.912240813648</v>
      </c>
      <c r="G20" s="16" t="s">
        <v>497</v>
      </c>
      <c r="H20" s="89" t="n">
        <f aca="false">C20</f>
        <v>9.77919947506562</v>
      </c>
      <c r="I20" s="90" t="n">
        <v>26.74</v>
      </c>
      <c r="J20" s="89" t="n">
        <f aca="false">H20*I20</f>
        <v>261.495793963255</v>
      </c>
      <c r="K20" s="16" t="s">
        <v>500</v>
      </c>
      <c r="L20" s="20" t="n">
        <f aca="false">Comps!I9</f>
        <v>12.041</v>
      </c>
      <c r="M20" s="52" t="n">
        <v>0.75</v>
      </c>
      <c r="N20" s="89" t="n">
        <f aca="false">L20*M20</f>
        <v>9.03075</v>
      </c>
      <c r="O20" s="91" t="n">
        <v>1.2</v>
      </c>
      <c r="P20" s="32" t="n">
        <f aca="false">$D$5+O20*$D$6</f>
        <v>0.1</v>
      </c>
      <c r="Q20" s="52" t="n">
        <v>0.1</v>
      </c>
      <c r="R20" s="52" t="n">
        <v>0.035</v>
      </c>
      <c r="S20" s="65" t="n">
        <v>0</v>
      </c>
      <c r="T20" s="89" t="n">
        <f aca="false">IF(ABS(P20-Q20)&lt;0.0001,N20*5/(1+P20),N20/(P20-Q20)*(1-((1+Q20)/(1+P20))^5))+N20*(1+Q20)^4*(1+R20)/(P20-R20)/(1+P20)^5+S20</f>
        <v>171.773706293706</v>
      </c>
      <c r="U20" s="65" t="n">
        <v>341.53</v>
      </c>
      <c r="V20" s="92" t="n">
        <f aca="false">F20*$D$7+J20*$D$8+T20*$D$9+U20*$D$10</f>
        <v>246.967911815383</v>
      </c>
      <c r="W20" s="20" t="n">
        <f aca="false">Comps!E9</f>
        <v>298.07</v>
      </c>
      <c r="X20" s="75" t="n">
        <f aca="false">V20/W20-1</f>
        <v>-0.17144324549474</v>
      </c>
      <c r="Y20" s="36" t="str">
        <f aca="false">IF(X20&gt;=$D$11,"低估",IF(X20&lt;=$D$12,"高估","合理"))</f>
        <v>高估</v>
      </c>
      <c r="Z20" s="32" t="n">
        <f aca="false">P20-N20*(1+Q20)/W20</f>
        <v>0.0666728453047942</v>
      </c>
      <c r="AA20" s="32" t="n">
        <f aca="false">Z20-R20</f>
        <v>0.0316728453047942</v>
      </c>
      <c r="AB20" s="51" t="s">
        <v>504</v>
      </c>
    </row>
    <row r="21" customFormat="false" ht="39.75" hidden="false" customHeight="true" outlineLevel="0" collapsed="false">
      <c r="A21" s="61" t="s">
        <v>361</v>
      </c>
      <c r="B21" s="72" t="s">
        <v>497</v>
      </c>
      <c r="C21" s="93" t="n">
        <f aca="false">Comps!E10/Comps!H10</f>
        <v>4.04934210526316</v>
      </c>
      <c r="D21" s="70" t="n">
        <f aca="false">W21/C21</f>
        <v>21.28</v>
      </c>
      <c r="E21" s="94" t="n">
        <f aca="false">Comps!V10</f>
        <v>22.49</v>
      </c>
      <c r="F21" s="95" t="n">
        <f aca="false">C21*E21</f>
        <v>91.0697039473684</v>
      </c>
      <c r="G21" s="72" t="s">
        <v>497</v>
      </c>
      <c r="H21" s="95" t="n">
        <f aca="false">C21</f>
        <v>4.04934210526316</v>
      </c>
      <c r="I21" s="39" t="n">
        <v>18.73</v>
      </c>
      <c r="J21" s="95" t="n">
        <f aca="false">H21*I21</f>
        <v>75.8441776315789</v>
      </c>
      <c r="K21" s="72" t="s">
        <v>502</v>
      </c>
      <c r="L21" s="93" t="n">
        <f aca="false">Comps!I10</f>
        <v>4.633</v>
      </c>
      <c r="M21" s="41" t="n">
        <v>0.66</v>
      </c>
      <c r="N21" s="95" t="n">
        <f aca="false">L21*M21</f>
        <v>3.05778</v>
      </c>
      <c r="O21" s="97" t="n">
        <v>0.75</v>
      </c>
      <c r="P21" s="40" t="n">
        <f aca="false">$D$5+O21*$D$6</f>
        <v>0.07975</v>
      </c>
      <c r="Q21" s="41" t="n">
        <v>0.07</v>
      </c>
      <c r="R21" s="41" t="n">
        <v>0.04</v>
      </c>
      <c r="S21" s="68" t="n">
        <v>0</v>
      </c>
      <c r="T21" s="95" t="n">
        <f aca="false">IF(ABS(P21-Q21)&lt;0.0001,N21*5/(1+P21),N21/(P21-Q21)*(1-((1+Q21)/(1+P21))^5))+N21*(1+Q21)^4*(1+R21)/(P21-R21)/(1+P21)^5+S21</f>
        <v>85.3594135308365</v>
      </c>
      <c r="U21" s="68" t="n">
        <v>98.13</v>
      </c>
      <c r="V21" s="98" t="n">
        <f aca="false">F21*$D$7+J21*$D$8+T21*$D$9+U21*$D$10</f>
        <v>87.9138180439135</v>
      </c>
      <c r="W21" s="93" t="n">
        <f aca="false">Comps!E10</f>
        <v>86.17</v>
      </c>
      <c r="X21" s="99" t="n">
        <f aca="false">V21/W21-1</f>
        <v>0.0202369507243068</v>
      </c>
      <c r="Y21" s="100" t="str">
        <f aca="false">IF(X21&gt;=$D$11,"低估",IF(X21&lt;=$D$12,"高估","合理"))</f>
        <v>合理</v>
      </c>
      <c r="Z21" s="40" t="n">
        <f aca="false">P21-N21*(1+Q21)/W21</f>
        <v>0.0417805837298364</v>
      </c>
      <c r="AA21" s="40" t="n">
        <f aca="false">Z21-R21</f>
        <v>0.00178058372983637</v>
      </c>
      <c r="AB21" s="51" t="s">
        <v>505</v>
      </c>
    </row>
    <row r="22" customFormat="false" ht="39.75" hidden="false" customHeight="true" outlineLevel="0" collapsed="false">
      <c r="A22" s="17" t="s">
        <v>363</v>
      </c>
      <c r="B22" s="16" t="s">
        <v>493</v>
      </c>
      <c r="C22" s="20" t="n">
        <f aca="false">Comps!E11/Comps!K11</f>
        <v>64.42</v>
      </c>
      <c r="D22" s="44" t="n">
        <f aca="false">W22/C22</f>
        <v>3.5</v>
      </c>
      <c r="E22" s="88" t="n">
        <f aca="false">Comps!V11</f>
        <v>2.19</v>
      </c>
      <c r="F22" s="89" t="n">
        <f aca="false">C22*E22</f>
        <v>141.0798</v>
      </c>
      <c r="G22" s="16" t="s">
        <v>506</v>
      </c>
      <c r="H22" s="65" t="n">
        <v>6.4</v>
      </c>
      <c r="I22" s="90" t="n">
        <v>25</v>
      </c>
      <c r="J22" s="89" t="n">
        <f aca="false">H22*I22</f>
        <v>160</v>
      </c>
      <c r="K22" s="16" t="s">
        <v>507</v>
      </c>
      <c r="L22" s="89" t="n">
        <f aca="false">H22</f>
        <v>6.4</v>
      </c>
      <c r="M22" s="52" t="n">
        <v>0.9</v>
      </c>
      <c r="N22" s="89" t="n">
        <f aca="false">L22*M22</f>
        <v>5.76</v>
      </c>
      <c r="O22" s="91" t="n">
        <v>0.85</v>
      </c>
      <c r="P22" s="32" t="n">
        <f aca="false">$D$5+O22*$D$6</f>
        <v>0.08425</v>
      </c>
      <c r="Q22" s="52" t="n">
        <v>0.12</v>
      </c>
      <c r="R22" s="52" t="n">
        <v>0.04</v>
      </c>
      <c r="S22" s="65" t="n">
        <v>0</v>
      </c>
      <c r="T22" s="89" t="n">
        <f aca="false">IF(ABS(P22-Q22)&lt;0.0001,N22*5/(1+P22),N22/(P22-Q22)*(1-((1+Q22)/(1+P22))^5))+N22*(1+Q22)^4*(1+R22)/(P22-R22)/(1+P22)^5+S22</f>
        <v>170.529221216078</v>
      </c>
      <c r="U22" s="65" t="n">
        <v>262.05</v>
      </c>
      <c r="V22" s="92" t="n">
        <f aca="false">F22*$D$7+J22*$D$8+T22*$D$9+U22*$D$10</f>
        <v>179.891638486431</v>
      </c>
      <c r="W22" s="20" t="n">
        <f aca="false">Comps!E11</f>
        <v>225.47</v>
      </c>
      <c r="X22" s="75" t="n">
        <f aca="false">V22/W22-1</f>
        <v>-0.202148230423422</v>
      </c>
      <c r="Y22" s="36" t="str">
        <f aca="false">IF(X22&gt;=$D$11,"低估",IF(X22&lt;=$D$12,"高估","合理"))</f>
        <v>高估</v>
      </c>
      <c r="Z22" s="32" t="n">
        <f aca="false">P22-N22*(1+Q22)/W22</f>
        <v>0.0556377677739832</v>
      </c>
      <c r="AA22" s="32" t="n">
        <f aca="false">Z22-R22</f>
        <v>0.0156377677739832</v>
      </c>
      <c r="AB22" s="51" t="s">
        <v>508</v>
      </c>
    </row>
    <row r="23" customFormat="false" ht="39.75" hidden="false" customHeight="true" outlineLevel="0" collapsed="false">
      <c r="A23" s="61" t="s">
        <v>47</v>
      </c>
      <c r="B23" s="72" t="s">
        <v>493</v>
      </c>
      <c r="C23" s="93" t="n">
        <f aca="false">Comps!E12/Comps!K12</f>
        <v>57.5511111111111</v>
      </c>
      <c r="D23" s="70" t="n">
        <f aca="false">W23/C23</f>
        <v>2.25</v>
      </c>
      <c r="E23" s="94" t="n">
        <f aca="false">Comps!V12</f>
        <v>2.11</v>
      </c>
      <c r="F23" s="95" t="n">
        <f aca="false">C23*E23</f>
        <v>121.432844444444</v>
      </c>
      <c r="G23" s="72" t="s">
        <v>509</v>
      </c>
      <c r="H23" s="68" t="n">
        <v>6.26</v>
      </c>
      <c r="I23" s="39" t="n">
        <v>22</v>
      </c>
      <c r="J23" s="95" t="n">
        <f aca="false">H23*I23</f>
        <v>137.72</v>
      </c>
      <c r="K23" s="72" t="s">
        <v>507</v>
      </c>
      <c r="L23" s="95" t="n">
        <f aca="false">H23</f>
        <v>6.26</v>
      </c>
      <c r="M23" s="41" t="n">
        <v>0.85</v>
      </c>
      <c r="N23" s="95" t="n">
        <f aca="false">L23*M23</f>
        <v>5.321</v>
      </c>
      <c r="O23" s="97" t="n">
        <v>1.05</v>
      </c>
      <c r="P23" s="40" t="n">
        <f aca="false">$D$5+O23*$D$6</f>
        <v>0.09325</v>
      </c>
      <c r="Q23" s="41" t="n">
        <v>0.07</v>
      </c>
      <c r="R23" s="41" t="n">
        <v>0.035</v>
      </c>
      <c r="S23" s="68" t="n">
        <v>0</v>
      </c>
      <c r="T23" s="95" t="n">
        <f aca="false">IF(ABS(P23-Q23)&lt;0.0001,N23*5/(1+P23),N23/(P23-Q23)*(1-((1+Q23)/(1+P23))^5))+N23*(1+Q23)^4*(1+R23)/(P23-R23)/(1+P23)^5+S23</f>
        <v>102.6775827455</v>
      </c>
      <c r="U23" s="68" t="n">
        <v>158.23</v>
      </c>
      <c r="V23" s="98" t="n">
        <f aca="false">F23*$D$7+J23*$D$8+T23*$D$9+U23*$D$10</f>
        <v>123.733244209311</v>
      </c>
      <c r="W23" s="93" t="n">
        <f aca="false">Comps!E12</f>
        <v>129.49</v>
      </c>
      <c r="X23" s="99" t="n">
        <f aca="false">V23/W23-1</f>
        <v>-0.0444571456536316</v>
      </c>
      <c r="Y23" s="100" t="str">
        <f aca="false">IF(X23&gt;=$D$11,"低估",IF(X23&lt;=$D$12,"高估","合理"))</f>
        <v>合理</v>
      </c>
      <c r="Z23" s="40" t="n">
        <f aca="false">P23-N23*(1+Q23)/W23</f>
        <v>0.0492815854506139</v>
      </c>
      <c r="AA23" s="40" t="n">
        <f aca="false">Z23-R23</f>
        <v>0.0142815854506139</v>
      </c>
      <c r="AB23" s="51" t="s">
        <v>510</v>
      </c>
    </row>
    <row r="24" customFormat="false" ht="39.75" hidden="false" customHeight="true" outlineLevel="0" collapsed="false">
      <c r="A24" s="17" t="s">
        <v>366</v>
      </c>
      <c r="B24" s="16" t="s">
        <v>493</v>
      </c>
      <c r="C24" s="20" t="n">
        <f aca="false">Comps!E13/Comps!K13</f>
        <v>145.747159090909</v>
      </c>
      <c r="D24" s="44" t="n">
        <f aca="false">W24/C24</f>
        <v>7.04</v>
      </c>
      <c r="E24" s="88" t="n">
        <f aca="false">Comps!V13</f>
        <v>5.99</v>
      </c>
      <c r="F24" s="89" t="n">
        <f aca="false">C24*E24</f>
        <v>873.025482954546</v>
      </c>
      <c r="G24" s="16" t="s">
        <v>511</v>
      </c>
      <c r="H24" s="65" t="n">
        <v>42.99</v>
      </c>
      <c r="I24" s="90" t="n">
        <v>24</v>
      </c>
      <c r="J24" s="89" t="n">
        <f aca="false">H24*I24</f>
        <v>1031.76</v>
      </c>
      <c r="K24" s="16" t="s">
        <v>507</v>
      </c>
      <c r="L24" s="89" t="n">
        <f aca="false">H24</f>
        <v>42.99</v>
      </c>
      <c r="M24" s="52" t="n">
        <v>1</v>
      </c>
      <c r="N24" s="89" t="n">
        <f aca="false">L24*M24</f>
        <v>42.99</v>
      </c>
      <c r="O24" s="91" t="n">
        <v>0.9</v>
      </c>
      <c r="P24" s="32" t="n">
        <f aca="false">$D$5+O24*$D$6</f>
        <v>0.0865</v>
      </c>
      <c r="Q24" s="52" t="n">
        <v>0.09</v>
      </c>
      <c r="R24" s="52" t="n">
        <v>0.04</v>
      </c>
      <c r="S24" s="65" t="n">
        <v>0</v>
      </c>
      <c r="T24" s="89" t="n">
        <f aca="false">IF(ABS(P24-Q24)&lt;0.0001,N24*5/(1+P24),N24/(P24-Q24)*(1-((1+Q24)/(1+P24))^5))+N24*(1+Q24)^4*(1+R24)/(P24-R24)/(1+P24)^5+S24</f>
        <v>1095.52266740932</v>
      </c>
      <c r="U24" s="65" t="n">
        <v>1234.19</v>
      </c>
      <c r="V24" s="92" t="n">
        <f aca="false">F24*$D$7+J24*$D$8+T24*$D$9+U24*$D$10</f>
        <v>1058.06743770236</v>
      </c>
      <c r="W24" s="20" t="n">
        <f aca="false">Comps!E13</f>
        <v>1026.06</v>
      </c>
      <c r="X24" s="75" t="n">
        <f aca="false">V24/W24-1</f>
        <v>0.0311945088029586</v>
      </c>
      <c r="Y24" s="36" t="str">
        <f aca="false">IF(X24&gt;=$D$11,"低估",IF(X24&lt;=$D$12,"高估","合理"))</f>
        <v>合理</v>
      </c>
      <c r="Z24" s="32" t="n">
        <f aca="false">P24-N24*(1+Q24)/W24</f>
        <v>0.040831033272908</v>
      </c>
      <c r="AA24" s="32" t="n">
        <f aca="false">Z24-R24</f>
        <v>0.000831033272908004</v>
      </c>
      <c r="AB24" s="51" t="s">
        <v>512</v>
      </c>
    </row>
    <row r="25" customFormat="false" ht="39.75" hidden="false" customHeight="true" outlineLevel="0" collapsed="false">
      <c r="A25" s="61" t="s">
        <v>38</v>
      </c>
      <c r="B25" s="72" t="s">
        <v>497</v>
      </c>
      <c r="C25" s="93" t="n">
        <f aca="false">Comps!E14/Comps!H14</f>
        <v>15.7157244964263</v>
      </c>
      <c r="D25" s="70" t="n">
        <f aca="false">W25/C25</f>
        <v>30.78</v>
      </c>
      <c r="E25" s="94" t="n">
        <f aca="false">Comps!V14</f>
        <v>33.68</v>
      </c>
      <c r="F25" s="95" t="n">
        <f aca="false">C25*E25</f>
        <v>529.305601039636</v>
      </c>
      <c r="G25" s="72" t="s">
        <v>497</v>
      </c>
      <c r="H25" s="95" t="n">
        <f aca="false">C25</f>
        <v>15.7157244964263</v>
      </c>
      <c r="I25" s="39" t="n">
        <v>29.45</v>
      </c>
      <c r="J25" s="95" t="n">
        <f aca="false">H25*I25</f>
        <v>462.828086419753</v>
      </c>
      <c r="K25" s="72" t="s">
        <v>500</v>
      </c>
      <c r="L25" s="93" t="n">
        <f aca="false">Comps!I14</f>
        <v>18.74</v>
      </c>
      <c r="M25" s="41" t="n">
        <v>0.85</v>
      </c>
      <c r="N25" s="95" t="n">
        <f aca="false">L25*M25</f>
        <v>15.929</v>
      </c>
      <c r="O25" s="97" t="n">
        <v>0.9</v>
      </c>
      <c r="P25" s="40" t="n">
        <f aca="false">$D$5+O25*$D$6</f>
        <v>0.0865</v>
      </c>
      <c r="Q25" s="41" t="n">
        <v>0.08</v>
      </c>
      <c r="R25" s="41" t="n">
        <v>0.035</v>
      </c>
      <c r="S25" s="68" t="n">
        <v>0</v>
      </c>
      <c r="T25" s="95" t="n">
        <f aca="false">IF(ABS(P25-Q25)&lt;0.0001,N25*5/(1+P25),N25/(P25-Q25)*(1-((1+Q25)/(1+P25))^5))+N25*(1+Q25)^4*(1+R25)/(P25-R25)/(1+P25)^5+S25</f>
        <v>360.08473267654</v>
      </c>
      <c r="U25" s="68" t="n">
        <v>543.04</v>
      </c>
      <c r="V25" s="98" t="n">
        <f aca="false">F25*$D$7+J25*$D$8+T25*$D$9+U25*$D$10</f>
        <v>454.392506293488</v>
      </c>
      <c r="W25" s="93" t="n">
        <f aca="false">Comps!E14</f>
        <v>483.73</v>
      </c>
      <c r="X25" s="99" t="n">
        <f aca="false">V25/W25-1</f>
        <v>-0.0606484892533269</v>
      </c>
      <c r="Y25" s="100" t="str">
        <f aca="false">IF(X25&gt;=$D$11,"低估",IF(X25&lt;=$D$12,"高估","合理"))</f>
        <v>合理</v>
      </c>
      <c r="Z25" s="40" t="n">
        <f aca="false">P25-N25*(1+Q25)/W25</f>
        <v>0.050936111053687</v>
      </c>
      <c r="AA25" s="40" t="n">
        <f aca="false">Z25-R25</f>
        <v>0.015936111053687</v>
      </c>
      <c r="AB25" s="51" t="s">
        <v>513</v>
      </c>
    </row>
    <row r="26" customFormat="false" ht="39.75" hidden="false" customHeight="true" outlineLevel="0" collapsed="false">
      <c r="A26" s="17" t="s">
        <v>369</v>
      </c>
      <c r="B26" s="16" t="s">
        <v>497</v>
      </c>
      <c r="C26" s="20" t="n">
        <f aca="false">Comps!E15/Comps!H15</f>
        <v>8.1606648199446</v>
      </c>
      <c r="D26" s="44" t="n">
        <f aca="false">W26/C26</f>
        <v>14.44</v>
      </c>
      <c r="E26" s="88" t="n">
        <f aca="false">Comps!V15</f>
        <v>14.92</v>
      </c>
      <c r="F26" s="89" t="n">
        <f aca="false">C26*E26</f>
        <v>121.757119113573</v>
      </c>
      <c r="G26" s="16" t="s">
        <v>497</v>
      </c>
      <c r="H26" s="89" t="n">
        <f aca="false">C26</f>
        <v>8.1606648199446</v>
      </c>
      <c r="I26" s="90" t="n">
        <v>8.53</v>
      </c>
      <c r="J26" s="89" t="n">
        <f aca="false">H26*I26</f>
        <v>69.6104709141274</v>
      </c>
      <c r="K26" s="35" t="s">
        <v>514</v>
      </c>
      <c r="L26" s="20" t="n">
        <f aca="false">Comps!I15</f>
        <v>8.99</v>
      </c>
      <c r="M26" s="52" t="n">
        <v>0.9</v>
      </c>
      <c r="N26" s="89" t="n">
        <f aca="false">L26*M26</f>
        <v>8.091</v>
      </c>
      <c r="O26" s="91" t="n">
        <v>0.9</v>
      </c>
      <c r="P26" s="32" t="n">
        <f aca="false">$D$5+O26*$D$6</f>
        <v>0.0865</v>
      </c>
      <c r="Q26" s="52" t="n">
        <v>-0.08</v>
      </c>
      <c r="R26" s="52" t="n">
        <v>0.02</v>
      </c>
      <c r="S26" s="65" t="n">
        <v>0</v>
      </c>
      <c r="T26" s="89" t="n">
        <f aca="false">IF(ABS(P26-Q26)&lt;0.0001,N26*5/(1+P26),N26/(P26-Q26)*(1-((1+Q26)/(1+P26))^5))+N26*(1+Q26)^4*(1+R26)/(P26-R26)/(1+P26)^5+S26</f>
        <v>86.1609190200588</v>
      </c>
      <c r="U26" s="65" t="n">
        <v>137.33</v>
      </c>
      <c r="V26" s="92" t="n">
        <f aca="false">F26*$D$7+J26*$D$8+T26*$D$9+U26*$D$10</f>
        <v>102.811218023536</v>
      </c>
      <c r="W26" s="20" t="n">
        <f aca="false">Comps!E15</f>
        <v>117.84</v>
      </c>
      <c r="X26" s="75" t="n">
        <f aca="false">V26/W26-1</f>
        <v>-0.127535488598642</v>
      </c>
      <c r="Y26" s="36" t="str">
        <f aca="false">IF(X26&gt;=$D$11,"低估",IF(X26&lt;=$D$12,"高估","合理"))</f>
        <v>高估</v>
      </c>
      <c r="Z26" s="32" t="n">
        <f aca="false">P26-N26*(1+Q26)/W26</f>
        <v>0.0233319755600814</v>
      </c>
      <c r="AA26" s="32" t="n">
        <f aca="false">Z26-R26</f>
        <v>0.00333197556008144</v>
      </c>
      <c r="AB26" s="51" t="s">
        <v>515</v>
      </c>
    </row>
    <row r="27" customFormat="false" ht="39.75" hidden="false" customHeight="true" outlineLevel="0" collapsed="false">
      <c r="A27" s="61" t="s">
        <v>371</v>
      </c>
      <c r="B27" s="72" t="s">
        <v>497</v>
      </c>
      <c r="C27" s="93" t="n">
        <f aca="false">Comps!E16/Comps!H16</f>
        <v>2.04467258601554</v>
      </c>
      <c r="D27" s="70" t="n">
        <f aca="false">W27/C27</f>
        <v>36.04</v>
      </c>
      <c r="E27" s="94" t="n">
        <f aca="false">Comps!V16</f>
        <v>32.55</v>
      </c>
      <c r="F27" s="95" t="n">
        <f aca="false">C27*E27</f>
        <v>66.5540926748058</v>
      </c>
      <c r="G27" s="72" t="s">
        <v>497</v>
      </c>
      <c r="H27" s="95" t="n">
        <f aca="false">C27</f>
        <v>2.04467258601554</v>
      </c>
      <c r="I27" s="39" t="n">
        <v>31.2</v>
      </c>
      <c r="J27" s="95" t="n">
        <f aca="false">H27*I27</f>
        <v>63.7937846836848</v>
      </c>
      <c r="K27" s="96" t="s">
        <v>514</v>
      </c>
      <c r="L27" s="93" t="n">
        <f aca="false">Comps!I16</f>
        <v>3.8</v>
      </c>
      <c r="M27" s="41" t="n">
        <v>0.7</v>
      </c>
      <c r="N27" s="95" t="n">
        <f aca="false">L27*M27</f>
        <v>2.66</v>
      </c>
      <c r="O27" s="97" t="n">
        <v>1.5</v>
      </c>
      <c r="P27" s="40" t="n">
        <f aca="false">$D$5+O27*$D$6</f>
        <v>0.1135</v>
      </c>
      <c r="Q27" s="41" t="n">
        <v>0.04</v>
      </c>
      <c r="R27" s="41" t="n">
        <v>0.025</v>
      </c>
      <c r="S27" s="68" t="n">
        <v>0</v>
      </c>
      <c r="T27" s="95" t="n">
        <f aca="false">IF(ABS(P27-Q27)&lt;0.0001,N27*5/(1+P27),N27/(P27-Q27)*(1-((1+Q27)/(1+P27))^5))+N27*(1+Q27)^4*(1+R27)/(P27-R27)/(1+P27)^5+S27</f>
        <v>31.5226491274629</v>
      </c>
      <c r="U27" s="68" t="n">
        <v>77.55</v>
      </c>
      <c r="V27" s="98" t="n">
        <f aca="false">F27*$D$7+J27*$D$8+T27*$D$9+U27*$D$10</f>
        <v>54.3266505222393</v>
      </c>
      <c r="W27" s="93" t="n">
        <f aca="false">Comps!E16</f>
        <v>73.69</v>
      </c>
      <c r="X27" s="99" t="n">
        <f aca="false">V27/W27-1</f>
        <v>-0.262767668309956</v>
      </c>
      <c r="Y27" s="100" t="str">
        <f aca="false">IF(X27&gt;=$D$11,"低估",IF(X27&lt;=$D$12,"高估","合理"))</f>
        <v>高估</v>
      </c>
      <c r="Z27" s="40" t="n">
        <f aca="false">P27-N27*(1+Q27)/W27</f>
        <v>0.0759589496539558</v>
      </c>
      <c r="AA27" s="40" t="n">
        <f aca="false">Z27-R27</f>
        <v>0.0509589496539558</v>
      </c>
      <c r="AB27" s="51" t="s">
        <v>516</v>
      </c>
    </row>
    <row r="29" customFormat="false" ht="15" hidden="false" customHeight="false" outlineLevel="0" collapsed="false">
      <c r="A29" s="11" t="s">
        <v>517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customFormat="false" ht="15" hidden="false" customHeight="false" outlineLevel="0" collapsed="false">
      <c r="A30" s="101" t="s">
        <v>518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customFormat="false" ht="15" hidden="false" customHeight="false" outlineLevel="0" collapsed="false">
      <c r="A31" s="101" t="s">
        <v>519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customFormat="false" ht="15" hidden="false" customHeight="false" outlineLevel="0" collapsed="false">
      <c r="A32" s="27" t="s">
        <v>520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customFormat="false" ht="15" hidden="false" customHeight="false" outlineLevel="0" collapsed="false">
      <c r="A33" s="101" t="s">
        <v>521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5" customFormat="false" ht="15" hidden="false" customHeight="false" outlineLevel="0" collapsed="false">
      <c r="A35" s="11" t="s">
        <v>522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customFormat="false" ht="15" hidden="false" customHeight="false" outlineLevel="0" collapsed="false">
      <c r="A36" s="17" t="s">
        <v>523</v>
      </c>
      <c r="B36" s="102" t="n">
        <v>0.06</v>
      </c>
      <c r="C36" s="102" t="n">
        <v>0.07</v>
      </c>
      <c r="D36" s="102" t="n">
        <v>0.08</v>
      </c>
      <c r="E36" s="102" t="n">
        <v>0.09</v>
      </c>
      <c r="F36" s="102" t="n">
        <v>0.1</v>
      </c>
      <c r="H36" s="23" t="s">
        <v>524</v>
      </c>
    </row>
    <row r="37" customFormat="false" ht="15" hidden="false" customHeight="false" outlineLevel="0" collapsed="false">
      <c r="A37" s="103" t="n">
        <v>0.075</v>
      </c>
      <c r="B37" s="104" t="n">
        <f aca="false">IF(ABS($A37-B$36)&lt;0.0001,$N$25*5/(1+$A37),$N$25/($A37-B$36)*(1-((1+B$36)/(1+$A37))^5))+$N$25*(1+B$36)^4*(1+$R$25)/($A37-$R$25)/(1+$A37)^5</f>
        <v>434.501029954771</v>
      </c>
      <c r="C37" s="104" t="n">
        <f aca="false">IF(ABS($A37-C$36)&lt;0.0001,$N$25*5/(1+$A37),$N$25/($A37-C$36)*(1-((1+C$36)/(1+$A37))^5))+$N$25*(1+C$36)^4*(1+$R$25)/($A37-$R$25)/(1+$A37)^5</f>
        <v>449.726154171031</v>
      </c>
      <c r="D37" s="104" t="n">
        <f aca="false">IF(ABS($A37-D$36)&lt;0.0001,$N$25*5/(1+$A37),$N$25/($A37-D$36)*(1-((1+D$36)/(1+$A37))^5))+$N$25*(1+D$36)^4*(1+$R$25)/($A37-$R$25)/(1+$A37)^5</f>
        <v>465.371185117778</v>
      </c>
      <c r="E37" s="104" t="n">
        <f aca="false">IF(ABS($A37-E$36)&lt;0.0001,$N$25*5/(1+$A37),$N$25/($A37-E$36)*(1-((1+E$36)/(1+$A37))^5))+$N$25*(1+E$36)^4*(1+$R$25)/($A37-$R$25)/(1+$A37)^5</f>
        <v>481.443887691013</v>
      </c>
      <c r="F37" s="104" t="n">
        <f aca="false">IF(ABS($A37-F$36)&lt;0.0001,$N$25*5/(1+$A37),$N$25/($A37-F$36)*(1-((1+F$36)/(1+$A37))^5))+$N$25*(1+F$36)^4*(1+$R$25)/($A37-$R$25)/(1+$A37)^5</f>
        <v>497.95209835261</v>
      </c>
      <c r="H37" s="20" t="n">
        <f aca="false">W25</f>
        <v>483.73</v>
      </c>
    </row>
    <row r="38" customFormat="false" ht="15" hidden="false" customHeight="false" outlineLevel="0" collapsed="false">
      <c r="A38" s="103" t="n">
        <v>0.08</v>
      </c>
      <c r="B38" s="104" t="n">
        <f aca="false">IF(ABS($A38-B$36)&lt;0.0001,$N$25*5/(1+$A38),$N$25/($A38-B$36)*(1-((1+B$36)/(1+$A38))^5))+$N$25*(1+B$36)^4*(1+$R$25)/($A38-$R$25)/(1+$A38)^5</f>
        <v>385.854249193205</v>
      </c>
      <c r="C38" s="104" t="n">
        <f aca="false">IF(ABS($A38-C$36)&lt;0.0001,$N$25*5/(1+$A38),$N$25/($A38-C$36)*(1-((1+C$36)/(1+$A38))^5))+$N$25*(1+C$36)^4*(1+$R$25)/($A38-$R$25)/(1+$A38)^5</f>
        <v>399.230405217532</v>
      </c>
      <c r="D38" s="104" t="n">
        <f aca="false">IF(ABS($A38-D$36)&lt;0.0001,$N$25*5/(1+$A38),$N$25/($A38-D$36)*(1-((1+D$36)/(1+$A38))^5))+$N$25*(1+D$36)^4*(1+$R$25)/($A38-$R$25)/(1+$A38)^5</f>
        <v>412.974074074074</v>
      </c>
      <c r="E38" s="104" t="n">
        <f aca="false">IF(ABS($A38-E$36)&lt;0.0001,$N$25*5/(1+$A38),$N$25/($A38-E$36)*(1-((1+E$36)/(1+$A38))^5))+$N$25*(1+E$36)^4*(1+$R$25)/($A38-$R$25)/(1+$A38)^5</f>
        <v>427.092038765811</v>
      </c>
      <c r="F38" s="104" t="n">
        <f aca="false">IF(ABS($A38-F$36)&lt;0.0001,$N$25*5/(1+$A38),$N$25/($A38-F$36)*(1-((1+F$36)/(1+$A38))^5))+$N$25*(1+F$36)^4*(1+$R$25)/($A38-$R$25)/(1+$A38)^5</f>
        <v>441.591144739936</v>
      </c>
    </row>
    <row r="39" customFormat="false" ht="15" hidden="false" customHeight="false" outlineLevel="0" collapsed="false">
      <c r="A39" s="103" t="n">
        <v>0.085</v>
      </c>
      <c r="B39" s="104" t="n">
        <f aca="false">IF(ABS($A39-B$36)&lt;0.0001,$N$25*5/(1+$A39),$N$25/($A39-B$36)*(1-((1+B$36)/(1+$A39))^5))+$N$25*(1+B$36)^4*(1+$R$25)/($A39-$R$25)/(1+$A39)^5</f>
        <v>346.94288786915</v>
      </c>
      <c r="C39" s="104" t="n">
        <f aca="false">IF(ABS($A39-C$36)&lt;0.0001,$N$25*5/(1+$A39),$N$25/($A39-C$36)*(1-((1+C$36)/(1+$A39))^5))+$N$25*(1+C$36)^4*(1+$R$25)/($A39-$R$25)/(1+$A39)^5</f>
        <v>358.84247499828</v>
      </c>
      <c r="D39" s="104" t="n">
        <f aca="false">IF(ABS($A39-D$36)&lt;0.0001,$N$25*5/(1+$A39),$N$25/($A39-D$36)*(1-((1+D$36)/(1+$A39))^5))+$N$25*(1+D$36)^4*(1+$R$25)/($A39-$R$25)/(1+$A39)^5</f>
        <v>371.067766380516</v>
      </c>
      <c r="E39" s="104" t="n">
        <f aca="false">IF(ABS($A39-E$36)&lt;0.0001,$N$25*5/(1+$A39),$N$25/($A39-E$36)*(1-((1+E$36)/(1+$A39))^5))+$N$25*(1+E$36)^4*(1+$R$25)/($A39-$R$25)/(1+$A39)^5</f>
        <v>383.624761861301</v>
      </c>
      <c r="F39" s="104" t="n">
        <f aca="false">IF(ABS($A39-F$36)&lt;0.0001,$N$25*5/(1+$A39),$N$25/($A39-F$36)*(1-((1+F$36)/(1+$A39))^5))+$N$25*(1+F$36)^4*(1+$R$25)/($A39-$R$25)/(1+$A39)^5</f>
        <v>396.519516457054</v>
      </c>
    </row>
    <row r="40" customFormat="false" ht="15" hidden="false" customHeight="false" outlineLevel="0" collapsed="false">
      <c r="A40" s="103" t="n">
        <v>0.09</v>
      </c>
      <c r="B40" s="104" t="n">
        <f aca="false">IF(ABS($A40-B$36)&lt;0.0001,$N$25*5/(1+$A40),$N$25/($A40-B$36)*(1-((1+B$36)/(1+$A40))^5))+$N$25*(1+B$36)^4*(1+$R$25)/($A40-$R$25)/(1+$A40)^5</f>
        <v>315.111699944536</v>
      </c>
      <c r="C40" s="104" t="n">
        <f aca="false">IF(ABS($A40-C$36)&lt;0.0001,$N$25*5/(1+$A40),$N$25/($A40-C$36)*(1-((1+C$36)/(1+$A40))^5))+$N$25*(1+C$36)^4*(1+$R$25)/($A40-$R$25)/(1+$A40)^5</f>
        <v>325.805497190295</v>
      </c>
      <c r="D40" s="104" t="n">
        <f aca="false">IF(ABS($A40-D$36)&lt;0.0001,$N$25*5/(1+$A40),$N$25/($A40-D$36)*(1-((1+D$36)/(1+$A40))^5))+$N$25*(1+D$36)^4*(1+$R$25)/($A40-$R$25)/(1+$A40)^5</f>
        <v>336.790886050088</v>
      </c>
      <c r="E40" s="104" t="n">
        <f aca="false">IF(ABS($A40-E$36)&lt;0.0001,$N$25*5/(1+$A40),$N$25/($A40-E$36)*(1-((1+E$36)/(1+$A40))^5))+$N$25*(1+E$36)^4*(1+$R$25)/($A40-$R$25)/(1+$A40)^5</f>
        <v>348.073227689741</v>
      </c>
      <c r="F40" s="104" t="n">
        <f aca="false">IF(ABS($A40-F$36)&lt;0.0001,$N$25*5/(1+$A40),$N$25/($A40-F$36)*(1-((1+F$36)/(1+$A40))^5))+$N$25*(1+F$36)^4*(1+$R$25)/($A40-$R$25)/(1+$A40)^5</f>
        <v>359.657932516561</v>
      </c>
    </row>
    <row r="41" customFormat="false" ht="15" hidden="false" customHeight="false" outlineLevel="0" collapsed="false">
      <c r="A41" s="103" t="n">
        <v>0.095</v>
      </c>
      <c r="B41" s="104" t="n">
        <f aca="false">IF(ABS($A41-B$36)&lt;0.0001,$N$25*5/(1+$A41),$N$25/($A41-B$36)*(1-((1+B$36)/(1+$A41))^5))+$N$25*(1+B$36)^4*(1+$R$25)/($A41-$R$25)/(1+$A41)^5</f>
        <v>288.590524893118</v>
      </c>
      <c r="C41" s="104" t="n">
        <f aca="false">IF(ABS($A41-C$36)&lt;0.0001,$N$25*5/(1+$A41),$N$25/($A41-C$36)*(1-((1+C$36)/(1+$A41))^5))+$N$25*(1+C$36)^4*(1+$R$25)/($A41-$R$25)/(1+$A41)^5</f>
        <v>298.281565926258</v>
      </c>
      <c r="D41" s="104" t="n">
        <f aca="false">IF(ABS($A41-D$36)&lt;0.0001,$N$25*5/(1+$A41),$N$25/($A41-D$36)*(1-((1+D$36)/(1+$A41))^5))+$N$25*(1+D$36)^4*(1+$R$25)/($A41-$R$25)/(1+$A41)^5</f>
        <v>308.235855690264</v>
      </c>
      <c r="E41" s="104" t="n">
        <f aca="false">IF(ABS($A41-E$36)&lt;0.0001,$N$25*5/(1+$A41),$N$25/($A41-E$36)*(1-((1+E$36)/(1+$A41))^5))+$N$25*(1+E$36)^4*(1+$R$25)/($A41-$R$25)/(1+$A41)^5</f>
        <v>318.458224979207</v>
      </c>
      <c r="F41" s="104" t="n">
        <f aca="false">IF(ABS($A41-F$36)&lt;0.0001,$N$25*5/(1+$A41),$N$25/($A41-F$36)*(1-((1+F$36)/(1+$A41))^5))+$N$25*(1+F$36)^4*(1+$R$25)/($A41-$R$25)/(1+$A41)^5</f>
        <v>328.953548906379</v>
      </c>
    </row>
  </sheetData>
  <mergeCells count="12">
    <mergeCell ref="A5:C5"/>
    <mergeCell ref="A6:C6"/>
    <mergeCell ref="A7:C7"/>
    <mergeCell ref="A8:C8"/>
    <mergeCell ref="A9:C9"/>
    <mergeCell ref="A10:C10"/>
    <mergeCell ref="A11:C11"/>
    <mergeCell ref="A12:C12"/>
    <mergeCell ref="A30:AA30"/>
    <mergeCell ref="A31:AA31"/>
    <mergeCell ref="A32:AA32"/>
    <mergeCell ref="A33:AA33"/>
  </mergeCells>
  <conditionalFormatting sqref="X16:X27">
    <cfRule type="colorScale" priority="2">
      <colorScale>
        <cfvo type="num" val="-0.3"/>
        <cfvo type="num" val="0"/>
        <cfvo type="num" val="0.3"/>
        <color rgb="FFF8696B"/>
        <color rgb="FFFFFFFF"/>
        <color rgb="FF63BE7B"/>
      </colorScale>
    </cfRule>
  </conditionalFormatting>
  <conditionalFormatting sqref="Y16:Y27">
    <cfRule type="cellIs" priority="3" operator="equal" aboveAverage="0" equalAverage="0" bottom="0" percent="0" rank="0" text="" dxfId="0">
      <formula>"低估"</formula>
    </cfRule>
    <cfRule type="cellIs" priority="4" operator="equal" aboveAverage="0" equalAverage="0" bottom="0" percent="0" rank="0" text="" dxfId="1">
      <formula>"高估"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9"/>
    <col collapsed="false" customWidth="true" hidden="false" outlineLevel="0" max="12" min="8" style="0" width="10"/>
    <col collapsed="false" customWidth="true" hidden="false" outlineLevel="0" max="13" min="13" style="0" width="12"/>
    <col collapsed="false" customWidth="true" hidden="false" outlineLevel="0" max="14" min="14" style="0" width="30"/>
    <col collapsed="false" customWidth="true" hidden="false" outlineLevel="0" max="16" min="15" style="0" width="44"/>
    <col collapsed="false" customWidth="true" hidden="false" outlineLevel="0" max="17" min="17" style="0" width="40"/>
  </cols>
  <sheetData>
    <row r="1" customFormat="false" ht="20.85" hidden="false" customHeight="false" outlineLevel="0" collapsed="false">
      <c r="A1" s="9" t="s">
        <v>525</v>
      </c>
    </row>
    <row r="2" customFormat="false" ht="15" hidden="false" customHeight="false" outlineLevel="0" collapsed="false">
      <c r="A2" s="77" t="s">
        <v>526</v>
      </c>
    </row>
    <row r="4" customFormat="false" ht="15" hidden="false" customHeight="false" outlineLevel="0" collapsed="false">
      <c r="A4" s="11" t="s">
        <v>527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customFormat="false" ht="30" hidden="false" customHeight="true" outlineLevel="0" collapsed="false">
      <c r="B5" s="36" t="s">
        <v>528</v>
      </c>
      <c r="C5" s="36" t="s">
        <v>529</v>
      </c>
      <c r="D5" s="36" t="s">
        <v>530</v>
      </c>
      <c r="E5" s="36" t="s">
        <v>531</v>
      </c>
      <c r="F5" s="36" t="s">
        <v>532</v>
      </c>
      <c r="G5" s="36" t="s">
        <v>533</v>
      </c>
    </row>
    <row r="6" customFormat="false" ht="15" hidden="false" customHeight="false" outlineLevel="0" collapsed="false">
      <c r="A6" s="23" t="s">
        <v>534</v>
      </c>
      <c r="B6" s="105" t="n">
        <v>0.1</v>
      </c>
      <c r="C6" s="105" t="n">
        <v>0.3</v>
      </c>
      <c r="D6" s="105" t="n">
        <v>0.15</v>
      </c>
      <c r="E6" s="105" t="n">
        <v>0.1</v>
      </c>
      <c r="F6" s="105" t="n">
        <v>0.25</v>
      </c>
      <c r="G6" s="105" t="n">
        <v>0.1</v>
      </c>
      <c r="H6" s="75" t="n">
        <f aca="false">SUM(B6:G6)</f>
        <v>1</v>
      </c>
    </row>
    <row r="7" customFormat="false" ht="15" hidden="false" customHeight="false" outlineLevel="0" collapsed="false">
      <c r="A7" s="28" t="s">
        <v>535</v>
      </c>
      <c r="I7" s="52" t="n">
        <v>0.6</v>
      </c>
    </row>
    <row r="9" customFormat="false" ht="39.75" hidden="false" customHeight="true" outlineLevel="0" collapsed="false">
      <c r="A9" s="14" t="s">
        <v>30</v>
      </c>
      <c r="B9" s="15" t="s">
        <v>536</v>
      </c>
      <c r="C9" s="15" t="s">
        <v>529</v>
      </c>
      <c r="D9" s="15" t="s">
        <v>537</v>
      </c>
      <c r="E9" s="15" t="s">
        <v>531</v>
      </c>
      <c r="F9" s="15" t="s">
        <v>538</v>
      </c>
      <c r="G9" s="15" t="s">
        <v>533</v>
      </c>
      <c r="H9" s="15" t="s">
        <v>539</v>
      </c>
      <c r="I9" s="15" t="s">
        <v>488</v>
      </c>
      <c r="J9" s="14" t="s">
        <v>35</v>
      </c>
      <c r="K9" s="15" t="s">
        <v>540</v>
      </c>
      <c r="L9" s="15" t="s">
        <v>541</v>
      </c>
      <c r="M9" s="15" t="s">
        <v>142</v>
      </c>
      <c r="N9" s="15" t="s">
        <v>542</v>
      </c>
      <c r="O9" s="15" t="s">
        <v>543</v>
      </c>
      <c r="P9" s="15" t="s">
        <v>544</v>
      </c>
    </row>
    <row r="10" customFormat="false" ht="63.75" hidden="false" customHeight="true" outlineLevel="0" collapsed="false">
      <c r="A10" s="17" t="s">
        <v>41</v>
      </c>
      <c r="B10" s="67" t="n">
        <v>4</v>
      </c>
      <c r="C10" s="67" t="n">
        <v>5</v>
      </c>
      <c r="D10" s="67" t="n">
        <v>3</v>
      </c>
      <c r="E10" s="67" t="n">
        <v>5</v>
      </c>
      <c r="F10" s="67" t="n">
        <v>4</v>
      </c>
      <c r="G10" s="106" t="n">
        <f aca="false">Macro!I24</f>
        <v>3</v>
      </c>
      <c r="H10" s="107" t="n">
        <f aca="false">SUMPRODUCT(B10:G10,$B$6:$G$6)/5*100</f>
        <v>83</v>
      </c>
      <c r="I10" s="21" t="n">
        <f aca="false">Valuation!X16</f>
        <v>0.0175895080817055</v>
      </c>
      <c r="J10" s="21" t="n">
        <f aca="false">Picks!N6</f>
        <v>0.0756155520795994</v>
      </c>
      <c r="K10" s="60" t="n">
        <f aca="false">ROUND(0.5*MAX(0,MIN(100,(I10+0.3)/0.6*100))+0.5*MAX(0,MIN(100,(J10-0.02)/0.1*100)),0)</f>
        <v>54</v>
      </c>
      <c r="L10" s="108" t="n">
        <f aca="false">ROUND(H10*$I$7+K10*(1-$I$7),1)</f>
        <v>71.4</v>
      </c>
      <c r="M10" s="107" t="n">
        <f aca="false">RANK(L10,$L$10:$L$21)</f>
        <v>4</v>
      </c>
      <c r="N10" s="22" t="s">
        <v>545</v>
      </c>
      <c r="O10" s="26" t="s">
        <v>546</v>
      </c>
      <c r="P10" s="22" t="s">
        <v>547</v>
      </c>
    </row>
    <row r="11" customFormat="false" ht="63.75" hidden="false" customHeight="true" outlineLevel="0" collapsed="false">
      <c r="A11" s="61" t="s">
        <v>50</v>
      </c>
      <c r="B11" s="73" t="n">
        <v>4</v>
      </c>
      <c r="C11" s="73" t="n">
        <v>4</v>
      </c>
      <c r="D11" s="73" t="n">
        <v>4</v>
      </c>
      <c r="E11" s="73" t="n">
        <v>3</v>
      </c>
      <c r="F11" s="73" t="n">
        <v>5</v>
      </c>
      <c r="G11" s="109" t="n">
        <f aca="false">Macro!I25</f>
        <v>3</v>
      </c>
      <c r="H11" s="110" t="n">
        <f aca="false">SUMPRODUCT(B11:G11,$B$6:$G$6)/5*100</f>
        <v>81</v>
      </c>
      <c r="I11" s="71" t="n">
        <f aca="false">Valuation!X17</f>
        <v>-0.0473626898822268</v>
      </c>
      <c r="J11" s="71" t="n">
        <f aca="false">Picks!N7</f>
        <v>0.0786748571742928</v>
      </c>
      <c r="K11" s="64" t="n">
        <f aca="false">ROUND(0.5*MAX(0,MIN(100,(I11+0.3)/0.6*100))+0.5*MAX(0,MIN(100,(J11-0.02)/0.1*100)),0)</f>
        <v>50</v>
      </c>
      <c r="L11" s="111" t="n">
        <f aca="false">ROUND(H11*$I$7+K11*(1-$I$7),1)</f>
        <v>68.6</v>
      </c>
      <c r="M11" s="110" t="n">
        <f aca="false">RANK(L11,$L$10:$L$21)</f>
        <v>5</v>
      </c>
      <c r="N11" s="22" t="s">
        <v>548</v>
      </c>
      <c r="O11" s="26" t="s">
        <v>549</v>
      </c>
      <c r="P11" s="22" t="s">
        <v>550</v>
      </c>
    </row>
    <row r="12" customFormat="false" ht="63.75" hidden="false" customHeight="true" outlineLevel="0" collapsed="false">
      <c r="A12" s="17" t="s">
        <v>44</v>
      </c>
      <c r="B12" s="67" t="n">
        <v>5</v>
      </c>
      <c r="C12" s="67" t="n">
        <v>5</v>
      </c>
      <c r="D12" s="67" t="n">
        <v>5</v>
      </c>
      <c r="E12" s="67" t="n">
        <v>4</v>
      </c>
      <c r="F12" s="67" t="n">
        <v>4</v>
      </c>
      <c r="G12" s="106" t="n">
        <f aca="false">Macro!I26</f>
        <v>2</v>
      </c>
      <c r="H12" s="107" t="n">
        <f aca="false">SUMPRODUCT(B12:G12,$B$6:$G$6)/5*100</f>
        <v>87</v>
      </c>
      <c r="I12" s="21" t="n">
        <f aca="false">Valuation!X18</f>
        <v>-0.011656007951002</v>
      </c>
      <c r="J12" s="21" t="n">
        <f aca="false">Picks!N8</f>
        <v>0.103349515361365</v>
      </c>
      <c r="K12" s="60" t="n">
        <f aca="false">ROUND(0.5*MAX(0,MIN(100,(I12+0.3)/0.6*100))+0.5*MAX(0,MIN(100,(J12-0.02)/0.1*100)),0)</f>
        <v>66</v>
      </c>
      <c r="L12" s="108" t="n">
        <f aca="false">ROUND(H12*$I$7+K12*(1-$I$7),1)</f>
        <v>78.6</v>
      </c>
      <c r="M12" s="107" t="n">
        <f aca="false">RANK(L12,$L$10:$L$21)</f>
        <v>2</v>
      </c>
      <c r="N12" s="22" t="s">
        <v>551</v>
      </c>
      <c r="O12" s="26" t="s">
        <v>552</v>
      </c>
      <c r="P12" s="22" t="s">
        <v>553</v>
      </c>
    </row>
    <row r="13" customFormat="false" ht="63.75" hidden="false" customHeight="true" outlineLevel="0" collapsed="false">
      <c r="A13" s="61" t="s">
        <v>53</v>
      </c>
      <c r="B13" s="73" t="n">
        <v>3</v>
      </c>
      <c r="C13" s="73" t="n">
        <v>3</v>
      </c>
      <c r="D13" s="73" t="n">
        <v>3</v>
      </c>
      <c r="E13" s="73" t="n">
        <v>2</v>
      </c>
      <c r="F13" s="73" t="n">
        <v>3</v>
      </c>
      <c r="G13" s="109" t="n">
        <f aca="false">Macro!I27</f>
        <v>1</v>
      </c>
      <c r="H13" s="110" t="n">
        <f aca="false">SUMPRODUCT(B13:G13,$B$6:$G$6)/5*100</f>
        <v>54</v>
      </c>
      <c r="I13" s="71" t="n">
        <f aca="false">Valuation!X19</f>
        <v>0.121551136108566</v>
      </c>
      <c r="J13" s="71" t="n">
        <f aca="false">Picks!N9</f>
        <v>0.1168710596541</v>
      </c>
      <c r="K13" s="64" t="n">
        <f aca="false">ROUND(0.5*MAX(0,MIN(100,(I13+0.3)/0.6*100))+0.5*MAX(0,MIN(100,(J13-0.02)/0.1*100)),0)</f>
        <v>84</v>
      </c>
      <c r="L13" s="111" t="n">
        <f aca="false">ROUND(H13*$I$7+K13*(1-$I$7),1)</f>
        <v>66</v>
      </c>
      <c r="M13" s="110" t="n">
        <f aca="false">RANK(L13,$L$10:$L$21)</f>
        <v>7</v>
      </c>
      <c r="N13" s="22" t="s">
        <v>554</v>
      </c>
      <c r="O13" s="26" t="s">
        <v>555</v>
      </c>
      <c r="P13" s="22" t="s">
        <v>556</v>
      </c>
    </row>
    <row r="14" customFormat="false" ht="63.75" hidden="false" customHeight="true" outlineLevel="0" collapsed="false">
      <c r="A14" s="17" t="s">
        <v>359</v>
      </c>
      <c r="B14" s="67" t="n">
        <v>3</v>
      </c>
      <c r="C14" s="67" t="n">
        <v>3</v>
      </c>
      <c r="D14" s="67" t="n">
        <v>3</v>
      </c>
      <c r="E14" s="67" t="n">
        <v>3</v>
      </c>
      <c r="F14" s="67" t="n">
        <v>3</v>
      </c>
      <c r="G14" s="106" t="n">
        <f aca="false">Macro!I28</f>
        <v>4</v>
      </c>
      <c r="H14" s="107" t="n">
        <f aca="false">SUMPRODUCT(B14:G14,$B$6:$G$6)/5*100</f>
        <v>62</v>
      </c>
      <c r="I14" s="21" t="n">
        <f aca="false">Valuation!X20</f>
        <v>-0.17144324549474</v>
      </c>
      <c r="J14" s="21" t="n">
        <f aca="false">Picks!N10</f>
        <v>0.0799507196712692</v>
      </c>
      <c r="K14" s="60" t="n">
        <f aca="false">ROUND(0.5*MAX(0,MIN(100,(I14+0.3)/0.6*100))+0.5*MAX(0,MIN(100,(J14-0.02)/0.1*100)),0)</f>
        <v>41</v>
      </c>
      <c r="L14" s="108" t="n">
        <f aca="false">ROUND(H14*$I$7+K14*(1-$I$7),1)</f>
        <v>53.6</v>
      </c>
      <c r="M14" s="107" t="n">
        <f aca="false">RANK(L14,$L$10:$L$21)</f>
        <v>9</v>
      </c>
      <c r="N14" s="22" t="s">
        <v>557</v>
      </c>
      <c r="O14" s="26" t="s">
        <v>558</v>
      </c>
      <c r="P14" s="22" t="s">
        <v>559</v>
      </c>
    </row>
    <row r="15" customFormat="false" ht="63.75" hidden="false" customHeight="true" outlineLevel="0" collapsed="false">
      <c r="A15" s="61" t="s">
        <v>361</v>
      </c>
      <c r="B15" s="73" t="n">
        <v>4</v>
      </c>
      <c r="C15" s="73" t="n">
        <v>3</v>
      </c>
      <c r="D15" s="73" t="n">
        <v>3</v>
      </c>
      <c r="E15" s="73" t="n">
        <v>2</v>
      </c>
      <c r="F15" s="73" t="n">
        <v>3</v>
      </c>
      <c r="G15" s="109" t="n">
        <f aca="false">Macro!I29</f>
        <v>4</v>
      </c>
      <c r="H15" s="110" t="n">
        <f aca="false">SUMPRODUCT(B15:G15,$B$6:$G$6)/5*100</f>
        <v>62</v>
      </c>
      <c r="I15" s="71" t="n">
        <f aca="false">Valuation!X21</f>
        <v>0.0202369507243068</v>
      </c>
      <c r="J15" s="71" t="n">
        <f aca="false">Picks!N11</f>
        <v>0.103656406902861</v>
      </c>
      <c r="K15" s="64" t="n">
        <f aca="false">ROUND(0.5*MAX(0,MIN(100,(I15+0.3)/0.6*100))+0.5*MAX(0,MIN(100,(J15-0.02)/0.1*100)),0)</f>
        <v>69</v>
      </c>
      <c r="L15" s="111" t="n">
        <f aca="false">ROUND(H15*$I$7+K15*(1-$I$7),1)</f>
        <v>64.8</v>
      </c>
      <c r="M15" s="110" t="n">
        <f aca="false">RANK(L15,$L$10:$L$21)</f>
        <v>8</v>
      </c>
      <c r="N15" s="22" t="s">
        <v>560</v>
      </c>
      <c r="O15" s="26" t="s">
        <v>561</v>
      </c>
      <c r="P15" s="22" t="s">
        <v>562</v>
      </c>
    </row>
    <row r="16" customFormat="false" ht="63.75" hidden="false" customHeight="true" outlineLevel="0" collapsed="false">
      <c r="A16" s="17" t="s">
        <v>363</v>
      </c>
      <c r="B16" s="67" t="n">
        <v>3</v>
      </c>
      <c r="C16" s="67" t="n">
        <v>3</v>
      </c>
      <c r="D16" s="67" t="n">
        <v>2</v>
      </c>
      <c r="E16" s="67" t="n">
        <v>4</v>
      </c>
      <c r="F16" s="67" t="n">
        <v>4</v>
      </c>
      <c r="G16" s="106" t="n">
        <f aca="false">Macro!I30</f>
        <v>2</v>
      </c>
      <c r="H16" s="107" t="n">
        <f aca="false">SUMPRODUCT(B16:G16,$B$6:$G$6)/5*100</f>
        <v>62</v>
      </c>
      <c r="I16" s="21" t="n">
        <f aca="false">Valuation!X22</f>
        <v>-0.202148230423422</v>
      </c>
      <c r="J16" s="21" t="n">
        <f aca="false">Picks!N12</f>
        <v>0.0689765154400289</v>
      </c>
      <c r="K16" s="60" t="n">
        <f aca="false">ROUND(0.5*MAX(0,MIN(100,(I16+0.3)/0.6*100))+0.5*MAX(0,MIN(100,(J16-0.02)/0.1*100)),0)</f>
        <v>33</v>
      </c>
      <c r="L16" s="108" t="n">
        <f aca="false">ROUND(H16*$I$7+K16*(1-$I$7),1)</f>
        <v>50.4</v>
      </c>
      <c r="M16" s="107" t="n">
        <f aca="false">RANK(L16,$L$10:$L$21)</f>
        <v>10</v>
      </c>
      <c r="N16" s="22" t="s">
        <v>563</v>
      </c>
      <c r="O16" s="26" t="s">
        <v>564</v>
      </c>
      <c r="P16" s="22" t="s">
        <v>565</v>
      </c>
    </row>
    <row r="17" customFormat="false" ht="63.75" hidden="false" customHeight="true" outlineLevel="0" collapsed="false">
      <c r="A17" s="61" t="s">
        <v>47</v>
      </c>
      <c r="B17" s="73" t="n">
        <v>4</v>
      </c>
      <c r="C17" s="73" t="n">
        <v>4</v>
      </c>
      <c r="D17" s="73" t="n">
        <v>3</v>
      </c>
      <c r="E17" s="73" t="n">
        <v>4</v>
      </c>
      <c r="F17" s="73" t="n">
        <v>5</v>
      </c>
      <c r="G17" s="109" t="n">
        <f aca="false">Macro!I31</f>
        <v>3</v>
      </c>
      <c r="H17" s="110" t="n">
        <f aca="false">SUMPRODUCT(B17:G17,$B$6:$G$6)/5*100</f>
        <v>80</v>
      </c>
      <c r="I17" s="71" t="n">
        <f aca="false">Valuation!X23</f>
        <v>-0.0444571456536316</v>
      </c>
      <c r="J17" s="71" t="n">
        <f aca="false">Picks!N13</f>
        <v>0.10583606211711</v>
      </c>
      <c r="K17" s="64" t="n">
        <f aca="false">ROUND(0.5*MAX(0,MIN(100,(I17+0.3)/0.6*100))+0.5*MAX(0,MIN(100,(J17-0.02)/0.1*100)),0)</f>
        <v>64</v>
      </c>
      <c r="L17" s="111" t="n">
        <f aca="false">ROUND(H17*$I$7+K17*(1-$I$7),1)</f>
        <v>73.6</v>
      </c>
      <c r="M17" s="110" t="n">
        <f aca="false">RANK(L17,$L$10:$L$21)</f>
        <v>3</v>
      </c>
      <c r="N17" s="22" t="s">
        <v>566</v>
      </c>
      <c r="O17" s="26" t="s">
        <v>567</v>
      </c>
      <c r="P17" s="22" t="s">
        <v>568</v>
      </c>
    </row>
    <row r="18" customFormat="false" ht="63.75" hidden="false" customHeight="true" outlineLevel="0" collapsed="false">
      <c r="A18" s="17" t="s">
        <v>366</v>
      </c>
      <c r="B18" s="67" t="n">
        <v>3</v>
      </c>
      <c r="C18" s="67" t="n">
        <v>4</v>
      </c>
      <c r="D18" s="67" t="n">
        <v>3</v>
      </c>
      <c r="E18" s="67" t="n">
        <v>3</v>
      </c>
      <c r="F18" s="67" t="n">
        <v>3</v>
      </c>
      <c r="G18" s="106" t="n">
        <f aca="false">Macro!I32</f>
        <v>3</v>
      </c>
      <c r="H18" s="107" t="n">
        <f aca="false">SUMPRODUCT(B18:G18,$B$6:$G$6)/5*100</f>
        <v>66</v>
      </c>
      <c r="I18" s="21" t="n">
        <f aca="false">Valuation!X24</f>
        <v>0.0311945088029586</v>
      </c>
      <c r="J18" s="21" t="n">
        <f aca="false">Picks!N14</f>
        <v>0.101659495432066</v>
      </c>
      <c r="K18" s="60" t="n">
        <f aca="false">ROUND(0.5*MAX(0,MIN(100,(I18+0.3)/0.6*100))+0.5*MAX(0,MIN(100,(J18-0.02)/0.1*100)),0)</f>
        <v>68</v>
      </c>
      <c r="L18" s="108" t="n">
        <f aca="false">ROUND(H18*$I$7+K18*(1-$I$7),1)</f>
        <v>66.8</v>
      </c>
      <c r="M18" s="107" t="n">
        <f aca="false">RANK(L18,$L$10:$L$21)</f>
        <v>6</v>
      </c>
      <c r="N18" s="22" t="s">
        <v>569</v>
      </c>
      <c r="O18" s="26" t="s">
        <v>570</v>
      </c>
      <c r="P18" s="22" t="s">
        <v>571</v>
      </c>
    </row>
    <row r="19" customFormat="false" ht="63.75" hidden="false" customHeight="true" outlineLevel="0" collapsed="false">
      <c r="A19" s="61" t="s">
        <v>38</v>
      </c>
      <c r="B19" s="73" t="n">
        <v>5</v>
      </c>
      <c r="C19" s="73" t="n">
        <v>5</v>
      </c>
      <c r="D19" s="73" t="n">
        <v>4</v>
      </c>
      <c r="E19" s="73" t="n">
        <v>4</v>
      </c>
      <c r="F19" s="73" t="n">
        <v>5</v>
      </c>
      <c r="G19" s="109" t="n">
        <f aca="false">Macro!I33</f>
        <v>4</v>
      </c>
      <c r="H19" s="110" t="n">
        <f aca="false">SUMPRODUCT(B19:G19,$B$6:$G$6)/5*100</f>
        <v>93</v>
      </c>
      <c r="I19" s="71" t="n">
        <f aca="false">Valuation!X25</f>
        <v>-0.0606484892533269</v>
      </c>
      <c r="J19" s="71" t="n">
        <f aca="false">Picks!N15</f>
        <v>0.107802558996112</v>
      </c>
      <c r="K19" s="64" t="n">
        <f aca="false">ROUND(0.5*MAX(0,MIN(100,(I19+0.3)/0.6*100))+0.5*MAX(0,MIN(100,(J19-0.02)/0.1*100)),0)</f>
        <v>64</v>
      </c>
      <c r="L19" s="111" t="n">
        <f aca="false">ROUND(H19*$I$7+K19*(1-$I$7),1)</f>
        <v>81.4</v>
      </c>
      <c r="M19" s="110" t="n">
        <f aca="false">RANK(L19,$L$10:$L$21)</f>
        <v>1</v>
      </c>
      <c r="N19" s="22" t="s">
        <v>572</v>
      </c>
      <c r="O19" s="26" t="s">
        <v>573</v>
      </c>
      <c r="P19" s="22" t="s">
        <v>574</v>
      </c>
    </row>
    <row r="20" customFormat="false" ht="63.75" hidden="false" customHeight="true" outlineLevel="0" collapsed="false">
      <c r="A20" s="17" t="s">
        <v>369</v>
      </c>
      <c r="B20" s="67" t="n">
        <v>3</v>
      </c>
      <c r="C20" s="67" t="n">
        <v>1</v>
      </c>
      <c r="D20" s="67" t="n">
        <v>2</v>
      </c>
      <c r="E20" s="67" t="n">
        <v>4</v>
      </c>
      <c r="F20" s="67" t="n">
        <v>3</v>
      </c>
      <c r="G20" s="106" t="n">
        <f aca="false">Macro!I34</f>
        <v>3</v>
      </c>
      <c r="H20" s="107" t="n">
        <f aca="false">SUMPRODUCT(B20:G20,$B$6:$G$6)/5*100</f>
        <v>47</v>
      </c>
      <c r="I20" s="21" t="n">
        <f aca="false">Valuation!X26</f>
        <v>-0.127535488598642</v>
      </c>
      <c r="J20" s="21" t="n">
        <f aca="false">Picks!N16</f>
        <v>-0.0579312718275673</v>
      </c>
      <c r="K20" s="60" t="n">
        <f aca="false">ROUND(0.5*MAX(0,MIN(100,(I20+0.3)/0.6*100))+0.5*MAX(0,MIN(100,(J20-0.02)/0.1*100)),0)</f>
        <v>14</v>
      </c>
      <c r="L20" s="108" t="n">
        <f aca="false">ROUND(H20*$I$7+K20*(1-$I$7),1)</f>
        <v>33.8</v>
      </c>
      <c r="M20" s="107" t="n">
        <f aca="false">RANK(L20,$L$10:$L$21)</f>
        <v>12</v>
      </c>
      <c r="N20" s="22" t="s">
        <v>575</v>
      </c>
      <c r="O20" s="26" t="s">
        <v>576</v>
      </c>
      <c r="P20" s="22" t="s">
        <v>577</v>
      </c>
    </row>
    <row r="21" customFormat="false" ht="63.75" hidden="false" customHeight="true" outlineLevel="0" collapsed="false">
      <c r="A21" s="61" t="s">
        <v>371</v>
      </c>
      <c r="B21" s="73" t="n">
        <v>3</v>
      </c>
      <c r="C21" s="73" t="n">
        <v>2</v>
      </c>
      <c r="D21" s="73" t="n">
        <v>3</v>
      </c>
      <c r="E21" s="73" t="n">
        <v>3</v>
      </c>
      <c r="F21" s="73" t="n">
        <v>3</v>
      </c>
      <c r="G21" s="109" t="n">
        <f aca="false">Macro!I35</f>
        <v>4</v>
      </c>
      <c r="H21" s="110" t="n">
        <f aca="false">SUMPRODUCT(B21:G21,$B$6:$G$6)/5*100</f>
        <v>56</v>
      </c>
      <c r="I21" s="71" t="n">
        <f aca="false">Valuation!X27</f>
        <v>-0.262767668309956</v>
      </c>
      <c r="J21" s="71" t="n">
        <f aca="false">Picks!N17</f>
        <v>0.0180736107705505</v>
      </c>
      <c r="K21" s="64" t="n">
        <f aca="false">ROUND(0.5*MAX(0,MIN(100,(I21+0.3)/0.6*100))+0.5*MAX(0,MIN(100,(J21-0.02)/0.1*100)),0)</f>
        <v>3</v>
      </c>
      <c r="L21" s="111" t="n">
        <f aca="false">ROUND(H21*$I$7+K21*(1-$I$7),1)</f>
        <v>34.8</v>
      </c>
      <c r="M21" s="110" t="n">
        <f aca="false">RANK(L21,$L$10:$L$21)</f>
        <v>11</v>
      </c>
      <c r="N21" s="22" t="s">
        <v>578</v>
      </c>
      <c r="O21" s="26" t="s">
        <v>579</v>
      </c>
      <c r="P21" s="22" t="s">
        <v>580</v>
      </c>
    </row>
    <row r="23" customFormat="false" ht="15" hidden="false" customHeight="false" outlineLevel="0" collapsed="false">
      <c r="A23" s="28" t="s">
        <v>581</v>
      </c>
    </row>
    <row r="25" customFormat="false" ht="15" hidden="false" customHeight="false" outlineLevel="0" collapsed="false">
      <c r="A25" s="11" t="s">
        <v>582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customFormat="false" ht="15" hidden="false" customHeight="false" outlineLevel="0" collapsed="false">
      <c r="A26" s="27" t="s">
        <v>583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customFormat="false" ht="15" hidden="false" customHeight="false" outlineLevel="0" collapsed="false">
      <c r="A27" s="27" t="s">
        <v>584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customFormat="false" ht="15" hidden="false" customHeight="false" outlineLevel="0" collapsed="false">
      <c r="A28" s="27" t="s">
        <v>585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customFormat="false" ht="15" hidden="false" customHeight="false" outlineLevel="0" collapsed="false">
      <c r="A29" s="27" t="s">
        <v>586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customFormat="false" ht="15" hidden="false" customHeight="false" outlineLevel="0" collapsed="false">
      <c r="A30" s="27" t="s">
        <v>587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customFormat="false" ht="15" hidden="false" customHeight="false" outlineLevel="0" collapsed="false">
      <c r="A31" s="27" t="s">
        <v>588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</sheetData>
  <mergeCells count="6">
    <mergeCell ref="A26:P26"/>
    <mergeCell ref="A27:P27"/>
    <mergeCell ref="A28:P28"/>
    <mergeCell ref="A29:P29"/>
    <mergeCell ref="A30:P30"/>
    <mergeCell ref="A31:P31"/>
  </mergeCells>
  <conditionalFormatting sqref="H10:H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10:L2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T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3" min="10" style="0" width="9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20" min="19" style="0" width="50"/>
  </cols>
  <sheetData>
    <row r="1" customFormat="false" ht="20.85" hidden="false" customHeight="false" outlineLevel="0" collapsed="false">
      <c r="A1" s="112" t="s">
        <v>589</v>
      </c>
    </row>
    <row r="2" customFormat="false" ht="15" hidden="false" customHeight="false" outlineLevel="0" collapsed="false">
      <c r="A2" s="77" t="s">
        <v>590</v>
      </c>
    </row>
    <row r="3" customFormat="false" ht="14.15" hidden="false" customHeight="false" outlineLevel="0" collapsed="false">
      <c r="A3" s="113" t="s">
        <v>591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</row>
    <row r="5" customFormat="false" ht="39.75" hidden="false" customHeight="true" outlineLevel="0" collapsed="false">
      <c r="A5" s="14" t="s">
        <v>30</v>
      </c>
      <c r="B5" s="15" t="s">
        <v>29</v>
      </c>
      <c r="C5" s="15" t="s">
        <v>72</v>
      </c>
      <c r="D5" s="15" t="s">
        <v>33</v>
      </c>
      <c r="E5" s="15" t="s">
        <v>592</v>
      </c>
      <c r="F5" s="15" t="s">
        <v>593</v>
      </c>
      <c r="G5" s="15" t="s">
        <v>594</v>
      </c>
      <c r="H5" s="15" t="s">
        <v>595</v>
      </c>
      <c r="I5" s="14" t="s">
        <v>596</v>
      </c>
      <c r="J5" s="15" t="s">
        <v>382</v>
      </c>
      <c r="K5" s="15" t="s">
        <v>597</v>
      </c>
      <c r="L5" s="15" t="s">
        <v>598</v>
      </c>
      <c r="M5" s="14" t="s">
        <v>111</v>
      </c>
      <c r="N5" s="14" t="s">
        <v>35</v>
      </c>
      <c r="O5" s="15" t="s">
        <v>541</v>
      </c>
      <c r="P5" s="15" t="s">
        <v>142</v>
      </c>
      <c r="Q5" s="15" t="s">
        <v>31</v>
      </c>
      <c r="R5" s="15" t="s">
        <v>32</v>
      </c>
      <c r="S5" s="15" t="s">
        <v>599</v>
      </c>
      <c r="T5" s="15" t="s">
        <v>600</v>
      </c>
    </row>
    <row r="6" customFormat="false" ht="69.75" hidden="false" customHeight="true" outlineLevel="0" collapsed="false">
      <c r="A6" s="17" t="s">
        <v>41</v>
      </c>
      <c r="B6" s="50" t="s">
        <v>40</v>
      </c>
      <c r="C6" s="35" t="s">
        <v>403</v>
      </c>
      <c r="D6" s="20" t="n">
        <f aca="false">Comps!E5</f>
        <v>515.62</v>
      </c>
      <c r="E6" s="16" t="s">
        <v>493</v>
      </c>
      <c r="F6" s="20" t="n">
        <f aca="false">Valuation!C16</f>
        <v>346.053691275168</v>
      </c>
      <c r="G6" s="44" t="n">
        <f aca="false">D6/F6</f>
        <v>1.49</v>
      </c>
      <c r="H6" s="90" t="n">
        <v>1.46</v>
      </c>
      <c r="I6" s="52" t="n">
        <v>0.08</v>
      </c>
      <c r="J6" s="21" t="n">
        <f aca="false">Comps!L5</f>
        <v>0</v>
      </c>
      <c r="K6" s="32" t="n">
        <f aca="false">(H6/G6)^(1/5)-1</f>
        <v>-0.00405967400037099</v>
      </c>
      <c r="L6" s="32" t="n">
        <f aca="false">I6</f>
        <v>0.08</v>
      </c>
      <c r="M6" s="114"/>
      <c r="N6" s="115" t="n">
        <f aca="false">((1+I6)^5*H6/G6)^(1/5)-1+J6</f>
        <v>0.0756155520795994</v>
      </c>
      <c r="O6" s="116" t="n">
        <f aca="false">Scorecard!L10</f>
        <v>71.4</v>
      </c>
      <c r="P6" s="106" t="n">
        <f aca="false">Scorecard!M10</f>
        <v>4</v>
      </c>
      <c r="Q6" s="36" t="s">
        <v>601</v>
      </c>
      <c r="R6" s="105" t="n">
        <v>0.225</v>
      </c>
      <c r="S6" s="22" t="s">
        <v>602</v>
      </c>
      <c r="T6" s="22" t="s">
        <v>603</v>
      </c>
    </row>
    <row r="7" customFormat="false" ht="69.75" hidden="false" customHeight="true" outlineLevel="0" collapsed="false">
      <c r="A7" s="61" t="s">
        <v>50</v>
      </c>
      <c r="B7" s="117" t="s">
        <v>49</v>
      </c>
      <c r="C7" s="96" t="s">
        <v>403</v>
      </c>
      <c r="D7" s="93" t="n">
        <f aca="false">Comps!E6</f>
        <v>332.99</v>
      </c>
      <c r="E7" s="72" t="s">
        <v>604</v>
      </c>
      <c r="F7" s="93" t="n">
        <f aca="false">Comps!I6</f>
        <v>24.46</v>
      </c>
      <c r="G7" s="70" t="n">
        <f aca="false">D7/F7</f>
        <v>13.613654946852</v>
      </c>
      <c r="H7" s="39" t="n">
        <v>13</v>
      </c>
      <c r="I7" s="41" t="n">
        <v>0.07</v>
      </c>
      <c r="J7" s="71" t="n">
        <f aca="false">Comps!L6</f>
        <v>0.0185</v>
      </c>
      <c r="K7" s="40" t="n">
        <f aca="false">(H7/G7)^(1/5)-1</f>
        <v>-0.00918237647262354</v>
      </c>
      <c r="L7" s="40" t="n">
        <f aca="false">I7</f>
        <v>0.07</v>
      </c>
      <c r="M7" s="118"/>
      <c r="N7" s="99" t="n">
        <f aca="false">((1+I7)^5*H7/G7)^(1/5)-1+J7</f>
        <v>0.0786748571742928</v>
      </c>
      <c r="O7" s="119" t="n">
        <f aca="false">Scorecard!L11</f>
        <v>68.6</v>
      </c>
      <c r="P7" s="109" t="n">
        <f aca="false">Scorecard!M11</f>
        <v>5</v>
      </c>
      <c r="Q7" s="36" t="s">
        <v>605</v>
      </c>
      <c r="R7" s="105" t="n">
        <v>0.125</v>
      </c>
      <c r="S7" s="22" t="s">
        <v>606</v>
      </c>
      <c r="T7" s="26" t="s">
        <v>607</v>
      </c>
    </row>
    <row r="8" customFormat="false" ht="69.75" hidden="false" customHeight="true" outlineLevel="0" collapsed="false">
      <c r="A8" s="17" t="s">
        <v>44</v>
      </c>
      <c r="B8" s="50" t="s">
        <v>43</v>
      </c>
      <c r="C8" s="35" t="s">
        <v>403</v>
      </c>
      <c r="D8" s="20" t="n">
        <f aca="false">Comps!E7</f>
        <v>385.45</v>
      </c>
      <c r="E8" s="16" t="s">
        <v>604</v>
      </c>
      <c r="F8" s="20" t="n">
        <f aca="false">Comps!I7</f>
        <v>14.493</v>
      </c>
      <c r="G8" s="44" t="n">
        <f aca="false">D8/F8</f>
        <v>26.5955978748361</v>
      </c>
      <c r="H8" s="90" t="n">
        <v>25</v>
      </c>
      <c r="I8" s="52" t="n">
        <v>0.11</v>
      </c>
      <c r="J8" s="21" t="n">
        <f aca="false">Comps!L7</f>
        <v>0.007</v>
      </c>
      <c r="K8" s="32" t="n">
        <f aca="false">(H8/G8)^(1/5)-1</f>
        <v>-0.0122977339086805</v>
      </c>
      <c r="L8" s="32" t="n">
        <f aca="false">I8</f>
        <v>0.11</v>
      </c>
      <c r="M8" s="114"/>
      <c r="N8" s="115" t="n">
        <f aca="false">((1+I8)^5*H8/G8)^(1/5)-1+J8</f>
        <v>0.103349515361365</v>
      </c>
      <c r="O8" s="116" t="n">
        <f aca="false">Scorecard!L12</f>
        <v>78.6</v>
      </c>
      <c r="P8" s="106" t="n">
        <f aca="false">Scorecard!M12</f>
        <v>2</v>
      </c>
      <c r="Q8" s="36" t="s">
        <v>601</v>
      </c>
      <c r="R8" s="105" t="n">
        <v>0.2</v>
      </c>
      <c r="S8" s="22" t="s">
        <v>608</v>
      </c>
      <c r="T8" s="26" t="s">
        <v>609</v>
      </c>
    </row>
    <row r="9" customFormat="false" ht="69.75" hidden="false" customHeight="true" outlineLevel="0" collapsed="false">
      <c r="A9" s="61" t="s">
        <v>53</v>
      </c>
      <c r="B9" s="117" t="s">
        <v>52</v>
      </c>
      <c r="C9" s="96" t="s">
        <v>410</v>
      </c>
      <c r="D9" s="93" t="n">
        <f aca="false">Comps!E8</f>
        <v>77.38</v>
      </c>
      <c r="E9" s="72" t="s">
        <v>604</v>
      </c>
      <c r="F9" s="93" t="n">
        <f aca="false">Comps!I8</f>
        <v>4.155</v>
      </c>
      <c r="G9" s="70" t="n">
        <f aca="false">D9/F9</f>
        <v>18.6233453670277</v>
      </c>
      <c r="H9" s="39" t="n">
        <v>20</v>
      </c>
      <c r="I9" s="41" t="n">
        <v>0.07</v>
      </c>
      <c r="J9" s="71" t="n">
        <f aca="false">Comps!L8</f>
        <v>0.0315</v>
      </c>
      <c r="K9" s="40" t="n">
        <f aca="false">(H9/G9)^(1/5)-1</f>
        <v>0.0143654763122434</v>
      </c>
      <c r="L9" s="40" t="n">
        <f aca="false">I9</f>
        <v>0.07</v>
      </c>
      <c r="M9" s="118"/>
      <c r="N9" s="99" t="n">
        <f aca="false">((1+I9)^5*H9/G9)^(1/5)-1+J9</f>
        <v>0.1168710596541</v>
      </c>
      <c r="O9" s="119" t="n">
        <f aca="false">Scorecard!L13</f>
        <v>66</v>
      </c>
      <c r="P9" s="109" t="n">
        <f aca="false">Scorecard!M13</f>
        <v>7</v>
      </c>
      <c r="Q9" s="36" t="s">
        <v>610</v>
      </c>
      <c r="R9" s="105" t="n">
        <v>0.075</v>
      </c>
      <c r="S9" s="22" t="s">
        <v>611</v>
      </c>
      <c r="T9" s="26" t="s">
        <v>612</v>
      </c>
    </row>
    <row r="10" customFormat="false" ht="33.75" hidden="false" customHeight="true" outlineLevel="0" collapsed="false">
      <c r="A10" s="17" t="s">
        <v>359</v>
      </c>
      <c r="B10" s="50" t="s">
        <v>412</v>
      </c>
      <c r="C10" s="35" t="s">
        <v>410</v>
      </c>
      <c r="D10" s="20" t="n">
        <f aca="false">Comps!E9</f>
        <v>298.07</v>
      </c>
      <c r="E10" s="16" t="s">
        <v>604</v>
      </c>
      <c r="F10" s="20" t="n">
        <f aca="false">Comps!I9</f>
        <v>12.041</v>
      </c>
      <c r="G10" s="44" t="n">
        <f aca="false">D10/F10</f>
        <v>24.7545884893281</v>
      </c>
      <c r="H10" s="90" t="n">
        <v>22</v>
      </c>
      <c r="I10" s="52" t="n">
        <v>0.1</v>
      </c>
      <c r="J10" s="21" t="n">
        <f aca="false">Comps!L9</f>
        <v>0.0056</v>
      </c>
      <c r="K10" s="32" t="n">
        <f aca="false">(H10/G10)^(1/5)-1</f>
        <v>-0.0233175275715735</v>
      </c>
      <c r="L10" s="32" t="n">
        <f aca="false">I10</f>
        <v>0.1</v>
      </c>
      <c r="M10" s="114"/>
      <c r="N10" s="115" t="n">
        <f aca="false">((1+I10)^5*H10/G10)^(1/5)-1+J10</f>
        <v>0.0799507196712692</v>
      </c>
      <c r="O10" s="116" t="n">
        <f aca="false">Scorecard!L14</f>
        <v>53.6</v>
      </c>
      <c r="P10" s="106" t="n">
        <f aca="false">Scorecard!M14</f>
        <v>9</v>
      </c>
      <c r="Q10" s="36" t="s">
        <v>119</v>
      </c>
      <c r="R10" s="120" t="n">
        <v>0</v>
      </c>
      <c r="S10" s="22" t="s">
        <v>613</v>
      </c>
      <c r="T10" s="26" t="s">
        <v>111</v>
      </c>
    </row>
    <row r="11" customFormat="false" ht="33.75" hidden="false" customHeight="true" outlineLevel="0" collapsed="false">
      <c r="A11" s="61" t="s">
        <v>361</v>
      </c>
      <c r="B11" s="117" t="s">
        <v>414</v>
      </c>
      <c r="C11" s="96" t="s">
        <v>410</v>
      </c>
      <c r="D11" s="93" t="n">
        <f aca="false">Comps!E10</f>
        <v>86.17</v>
      </c>
      <c r="E11" s="72" t="s">
        <v>604</v>
      </c>
      <c r="F11" s="93" t="n">
        <f aca="false">Comps!I10</f>
        <v>4.633</v>
      </c>
      <c r="G11" s="70" t="n">
        <f aca="false">D11/F11</f>
        <v>18.5991797971077</v>
      </c>
      <c r="H11" s="39" t="n">
        <v>18.5</v>
      </c>
      <c r="I11" s="41" t="n">
        <v>0.07</v>
      </c>
      <c r="J11" s="71" t="n">
        <f aca="false">Comps!L10</f>
        <v>0.0348</v>
      </c>
      <c r="K11" s="40" t="n">
        <f aca="false">(H11/G11)^(1/5)-1</f>
        <v>-0.00106877859545662</v>
      </c>
      <c r="L11" s="40" t="n">
        <f aca="false">I11</f>
        <v>0.07</v>
      </c>
      <c r="M11" s="118"/>
      <c r="N11" s="99" t="n">
        <f aca="false">((1+I11)^5*H11/G11)^(1/5)-1+J11</f>
        <v>0.103656406902861</v>
      </c>
      <c r="O11" s="119" t="n">
        <f aca="false">Scorecard!L15</f>
        <v>64.8</v>
      </c>
      <c r="P11" s="109" t="n">
        <f aca="false">Scorecard!M15</f>
        <v>8</v>
      </c>
      <c r="Q11" s="36" t="s">
        <v>614</v>
      </c>
      <c r="R11" s="120" t="n">
        <v>0</v>
      </c>
      <c r="S11" s="26" t="s">
        <v>615</v>
      </c>
      <c r="T11" s="26" t="s">
        <v>111</v>
      </c>
    </row>
    <row r="12" customFormat="false" ht="33.75" hidden="false" customHeight="true" outlineLevel="0" collapsed="false">
      <c r="A12" s="17" t="s">
        <v>363</v>
      </c>
      <c r="B12" s="50" t="s">
        <v>416</v>
      </c>
      <c r="C12" s="35" t="s">
        <v>417</v>
      </c>
      <c r="D12" s="20" t="n">
        <f aca="false">Comps!E11</f>
        <v>225.47</v>
      </c>
      <c r="E12" s="16" t="s">
        <v>506</v>
      </c>
      <c r="F12" s="20" t="n">
        <f aca="false">Valuation!H22</f>
        <v>6.4</v>
      </c>
      <c r="G12" s="44" t="n">
        <f aca="false">D12/F12</f>
        <v>35.2296875</v>
      </c>
      <c r="H12" s="90" t="n">
        <v>26</v>
      </c>
      <c r="I12" s="52" t="n">
        <v>0.12</v>
      </c>
      <c r="J12" s="33" t="n">
        <v>0.015</v>
      </c>
      <c r="K12" s="32" t="n">
        <f aca="false">(H12/G12)^(1/5)-1</f>
        <v>-0.0589495397856886</v>
      </c>
      <c r="L12" s="32" t="n">
        <f aca="false">I12</f>
        <v>0.12</v>
      </c>
      <c r="M12" s="114"/>
      <c r="N12" s="115" t="n">
        <f aca="false">((1+I12)^5*H12/G12)^(1/5)-1+J12</f>
        <v>0.0689765154400289</v>
      </c>
      <c r="O12" s="116" t="n">
        <f aca="false">Scorecard!L16</f>
        <v>50.4</v>
      </c>
      <c r="P12" s="106" t="n">
        <f aca="false">Scorecard!M16</f>
        <v>10</v>
      </c>
      <c r="Q12" s="36" t="s">
        <v>616</v>
      </c>
      <c r="R12" s="120" t="n">
        <v>0</v>
      </c>
      <c r="S12" s="22" t="s">
        <v>617</v>
      </c>
      <c r="T12" s="26" t="s">
        <v>111</v>
      </c>
    </row>
    <row r="13" customFormat="false" ht="69.75" hidden="false" customHeight="true" outlineLevel="0" collapsed="false">
      <c r="A13" s="61" t="s">
        <v>47</v>
      </c>
      <c r="B13" s="117" t="s">
        <v>46</v>
      </c>
      <c r="C13" s="96" t="s">
        <v>417</v>
      </c>
      <c r="D13" s="93" t="n">
        <f aca="false">Comps!E12</f>
        <v>129.49</v>
      </c>
      <c r="E13" s="72" t="s">
        <v>506</v>
      </c>
      <c r="F13" s="93" t="n">
        <f aca="false">Valuation!H23</f>
        <v>6.26</v>
      </c>
      <c r="G13" s="70" t="n">
        <f aca="false">D13/F13</f>
        <v>20.685303514377</v>
      </c>
      <c r="H13" s="39" t="n">
        <v>21</v>
      </c>
      <c r="I13" s="41" t="n">
        <v>0.07</v>
      </c>
      <c r="J13" s="71" t="n">
        <f aca="false">Comps!L12</f>
        <v>0.0326</v>
      </c>
      <c r="K13" s="40" t="n">
        <f aca="false">(H13/G13)^(1/5)-1</f>
        <v>0.00302435711879379</v>
      </c>
      <c r="L13" s="40" t="n">
        <f aca="false">I13</f>
        <v>0.07</v>
      </c>
      <c r="M13" s="118"/>
      <c r="N13" s="99" t="n">
        <f aca="false">((1+I13)^5*H13/G13)^(1/5)-1+J13</f>
        <v>0.10583606211711</v>
      </c>
      <c r="O13" s="119" t="n">
        <f aca="false">Scorecard!L17</f>
        <v>73.6</v>
      </c>
      <c r="P13" s="109" t="n">
        <f aca="false">Scorecard!M17</f>
        <v>3</v>
      </c>
      <c r="Q13" s="36" t="s">
        <v>601</v>
      </c>
      <c r="R13" s="105" t="n">
        <v>0.15</v>
      </c>
      <c r="S13" s="22" t="s">
        <v>618</v>
      </c>
      <c r="T13" s="22" t="s">
        <v>619</v>
      </c>
    </row>
    <row r="14" customFormat="false" ht="33.75" hidden="false" customHeight="true" outlineLevel="0" collapsed="false">
      <c r="A14" s="17" t="s">
        <v>366</v>
      </c>
      <c r="B14" s="50" t="s">
        <v>420</v>
      </c>
      <c r="C14" s="35" t="s">
        <v>417</v>
      </c>
      <c r="D14" s="20" t="n">
        <f aca="false">Comps!E13</f>
        <v>1026.06</v>
      </c>
      <c r="E14" s="16" t="s">
        <v>506</v>
      </c>
      <c r="F14" s="20" t="n">
        <f aca="false">Valuation!H24</f>
        <v>42.99</v>
      </c>
      <c r="G14" s="44" t="n">
        <f aca="false">D14/F14</f>
        <v>23.86741102582</v>
      </c>
      <c r="H14" s="90" t="n">
        <v>23</v>
      </c>
      <c r="I14" s="52" t="n">
        <v>0.09</v>
      </c>
      <c r="J14" s="21" t="n">
        <f aca="false">Comps!L13</f>
        <v>0.0197</v>
      </c>
      <c r="K14" s="32" t="n">
        <f aca="false">(H14/G14)^(1/5)-1</f>
        <v>-0.00737660969535248</v>
      </c>
      <c r="L14" s="32" t="n">
        <f aca="false">I14</f>
        <v>0.09</v>
      </c>
      <c r="M14" s="114"/>
      <c r="N14" s="115" t="n">
        <f aca="false">((1+I14)^5*H14/G14)^(1/5)-1+J14</f>
        <v>0.101659495432066</v>
      </c>
      <c r="O14" s="116" t="n">
        <f aca="false">Scorecard!L18</f>
        <v>66.8</v>
      </c>
      <c r="P14" s="106" t="n">
        <f aca="false">Scorecard!M18</f>
        <v>6</v>
      </c>
      <c r="Q14" s="36" t="s">
        <v>620</v>
      </c>
      <c r="R14" s="120" t="n">
        <v>0</v>
      </c>
      <c r="S14" s="22" t="s">
        <v>621</v>
      </c>
      <c r="T14" s="26" t="s">
        <v>111</v>
      </c>
    </row>
    <row r="15" customFormat="false" ht="69.75" hidden="false" customHeight="true" outlineLevel="0" collapsed="false">
      <c r="A15" s="61" t="s">
        <v>38</v>
      </c>
      <c r="B15" s="117" t="s">
        <v>37</v>
      </c>
      <c r="C15" s="96" t="s">
        <v>422</v>
      </c>
      <c r="D15" s="93" t="n">
        <f aca="false">Comps!E14</f>
        <v>483.73</v>
      </c>
      <c r="E15" s="72" t="s">
        <v>604</v>
      </c>
      <c r="F15" s="93" t="n">
        <f aca="false">Comps!I14</f>
        <v>18.74</v>
      </c>
      <c r="G15" s="70" t="n">
        <f aca="false">D15/F15</f>
        <v>25.8127001067236</v>
      </c>
      <c r="H15" s="39" t="n">
        <v>27</v>
      </c>
      <c r="I15" s="41" t="n">
        <v>0.085</v>
      </c>
      <c r="J15" s="71" t="n">
        <f aca="false">Comps!L14</f>
        <v>0.013</v>
      </c>
      <c r="K15" s="40" t="n">
        <f aca="false">(H15/G15)^(1/5)-1</f>
        <v>0.00903461658627869</v>
      </c>
      <c r="L15" s="40" t="n">
        <f aca="false">I15</f>
        <v>0.085</v>
      </c>
      <c r="M15" s="118"/>
      <c r="N15" s="99" t="n">
        <f aca="false">((1+I15)^5*H15/G15)^(1/5)-1+J15</f>
        <v>0.107802558996112</v>
      </c>
      <c r="O15" s="119" t="n">
        <f aca="false">Scorecard!L19</f>
        <v>81.4</v>
      </c>
      <c r="P15" s="109" t="n">
        <f aca="false">Scorecard!M19</f>
        <v>1</v>
      </c>
      <c r="Q15" s="36" t="s">
        <v>622</v>
      </c>
      <c r="R15" s="105" t="n">
        <v>0.225</v>
      </c>
      <c r="S15" s="22" t="s">
        <v>623</v>
      </c>
      <c r="T15" s="26" t="s">
        <v>624</v>
      </c>
    </row>
    <row r="16" customFormat="false" ht="33.75" hidden="false" customHeight="true" outlineLevel="0" collapsed="false">
      <c r="A16" s="17" t="s">
        <v>369</v>
      </c>
      <c r="B16" s="50" t="s">
        <v>424</v>
      </c>
      <c r="C16" s="35" t="s">
        <v>422</v>
      </c>
      <c r="D16" s="20" t="n">
        <f aca="false">Comps!E15</f>
        <v>117.84</v>
      </c>
      <c r="E16" s="16" t="s">
        <v>604</v>
      </c>
      <c r="F16" s="20" t="n">
        <f aca="false">Comps!I15</f>
        <v>8.99</v>
      </c>
      <c r="G16" s="44" t="n">
        <f aca="false">D16/F16</f>
        <v>13.1078976640712</v>
      </c>
      <c r="H16" s="90" t="n">
        <v>12</v>
      </c>
      <c r="I16" s="52" t="n">
        <v>-0.05</v>
      </c>
      <c r="J16" s="21" t="n">
        <f aca="false">Comps!L15</f>
        <v>0.0087</v>
      </c>
      <c r="K16" s="32" t="n">
        <f aca="false">(H16/G16)^(1/5)-1</f>
        <v>-0.0175066019237551</v>
      </c>
      <c r="L16" s="32" t="n">
        <f aca="false">I16</f>
        <v>-0.05</v>
      </c>
      <c r="M16" s="114"/>
      <c r="N16" s="115" t="n">
        <f aca="false">((1+I16)^5*H16/G16)^(1/5)-1+J16</f>
        <v>-0.0579312718275673</v>
      </c>
      <c r="O16" s="116" t="n">
        <f aca="false">Scorecard!L20</f>
        <v>33.8</v>
      </c>
      <c r="P16" s="106" t="n">
        <f aca="false">Scorecard!M20</f>
        <v>12</v>
      </c>
      <c r="Q16" s="36" t="s">
        <v>625</v>
      </c>
      <c r="R16" s="120" t="n">
        <v>0</v>
      </c>
      <c r="S16" s="22" t="s">
        <v>626</v>
      </c>
      <c r="T16" s="26" t="s">
        <v>111</v>
      </c>
    </row>
    <row r="17" customFormat="false" ht="33.75" hidden="false" customHeight="true" outlineLevel="0" collapsed="false">
      <c r="A17" s="61" t="s">
        <v>371</v>
      </c>
      <c r="B17" s="117" t="s">
        <v>427</v>
      </c>
      <c r="C17" s="96" t="s">
        <v>422</v>
      </c>
      <c r="D17" s="93" t="n">
        <f aca="false">Comps!E16</f>
        <v>73.69</v>
      </c>
      <c r="E17" s="72" t="s">
        <v>604</v>
      </c>
      <c r="F17" s="93" t="n">
        <f aca="false">Comps!I16</f>
        <v>3.8</v>
      </c>
      <c r="G17" s="70" t="n">
        <f aca="false">D17/F17</f>
        <v>19.3921052631579</v>
      </c>
      <c r="H17" s="39" t="n">
        <v>17</v>
      </c>
      <c r="I17" s="41" t="n">
        <v>0.04</v>
      </c>
      <c r="J17" s="71" t="n">
        <f aca="false">Comps!L16</f>
        <v>0.0051</v>
      </c>
      <c r="K17" s="40" t="n">
        <f aca="false">(H17/G17)^(1/5)-1</f>
        <v>-0.0259869127206245</v>
      </c>
      <c r="L17" s="40" t="n">
        <f aca="false">I17</f>
        <v>0.04</v>
      </c>
      <c r="M17" s="118"/>
      <c r="N17" s="99" t="n">
        <f aca="false">((1+I17)^5*H17/G17)^(1/5)-1+J17</f>
        <v>0.0180736107705505</v>
      </c>
      <c r="O17" s="119" t="n">
        <f aca="false">Scorecard!L21</f>
        <v>34.8</v>
      </c>
      <c r="P17" s="109" t="n">
        <f aca="false">Scorecard!M21</f>
        <v>11</v>
      </c>
      <c r="Q17" s="36" t="s">
        <v>627</v>
      </c>
      <c r="R17" s="120" t="n">
        <v>0</v>
      </c>
      <c r="S17" s="22" t="s">
        <v>628</v>
      </c>
      <c r="T17" s="26" t="s">
        <v>111</v>
      </c>
    </row>
    <row r="19" customFormat="false" ht="15" hidden="false" customHeight="false" outlineLevel="0" collapsed="false">
      <c r="B19" s="23" t="s">
        <v>629</v>
      </c>
      <c r="R19" s="24" t="n">
        <f aca="false">SUM(R6:R17)</f>
        <v>1</v>
      </c>
    </row>
    <row r="20" customFormat="false" ht="15" hidden="false" customHeight="false" outlineLevel="0" collapsed="false">
      <c r="B20" s="23" t="s">
        <v>630</v>
      </c>
      <c r="N20" s="25" t="n">
        <f aca="false">SUMPRODUCT(N6:N17,R6:R17)/R19</f>
        <v>0.0964140740027186</v>
      </c>
    </row>
    <row r="21" customFormat="false" ht="15" hidden="false" customHeight="false" outlineLevel="0" collapsed="false">
      <c r="B21" s="23" t="s">
        <v>631</v>
      </c>
      <c r="N21" s="75" t="n">
        <f aca="false">SUMPRODUCT(J6:J17,R6:R17)/R19</f>
        <v>0.01389</v>
      </c>
    </row>
    <row r="22" customFormat="false" ht="15" hidden="false" customHeight="false" outlineLevel="0" collapsed="false">
      <c r="B22" s="23" t="s">
        <v>632</v>
      </c>
      <c r="N22" s="121" t="n">
        <f aca="false">SUMPRODUCT(O6:O17,R6:R17)/R19</f>
        <v>74.665</v>
      </c>
    </row>
    <row r="23" customFormat="false" ht="15" hidden="false" customHeight="false" outlineLevel="0" collapsed="false">
      <c r="B23" s="28" t="s">
        <v>633</v>
      </c>
      <c r="N23" s="21" t="n">
        <f aca="false">1/Sector_Map!C9</f>
        <v>0.0523560209424084</v>
      </c>
    </row>
  </sheetData>
  <mergeCells count="1">
    <mergeCell ref="A3:T3"/>
  </mergeCells>
  <conditionalFormatting sqref="N6:N17">
    <cfRule type="colorScale" priority="2">
      <colorScale>
        <cfvo type="num" val="0"/>
        <cfvo type="num" val="0.08"/>
        <cfvo type="num" val="0.12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9" t="s">
        <v>634</v>
      </c>
    </row>
    <row r="2" customFormat="false" ht="15" hidden="false" customHeight="false" outlineLevel="0" collapsed="false">
      <c r="A2" s="10" t="s">
        <v>635</v>
      </c>
    </row>
    <row r="4" customFormat="false" ht="21.75" hidden="false" customHeight="true" outlineLevel="0" collapsed="false">
      <c r="A4" s="14" t="s">
        <v>28</v>
      </c>
      <c r="B4" s="15" t="s">
        <v>636</v>
      </c>
      <c r="C4" s="15" t="s">
        <v>298</v>
      </c>
    </row>
    <row r="5" customFormat="false" ht="30" hidden="false" customHeight="true" outlineLevel="0" collapsed="false">
      <c r="A5" s="16" t="n">
        <v>1</v>
      </c>
      <c r="B5" s="22" t="s">
        <v>637</v>
      </c>
      <c r="C5" s="51" t="s">
        <v>638</v>
      </c>
    </row>
    <row r="6" customFormat="false" ht="30" hidden="false" customHeight="true" outlineLevel="0" collapsed="false">
      <c r="A6" s="16" t="n">
        <v>2</v>
      </c>
      <c r="B6" s="22" t="s">
        <v>639</v>
      </c>
      <c r="C6" s="51" t="s">
        <v>640</v>
      </c>
    </row>
    <row r="7" customFormat="false" ht="30" hidden="false" customHeight="true" outlineLevel="0" collapsed="false">
      <c r="A7" s="16" t="n">
        <v>3</v>
      </c>
      <c r="B7" s="22" t="s">
        <v>641</v>
      </c>
      <c r="C7" s="51" t="s">
        <v>642</v>
      </c>
    </row>
    <row r="8" customFormat="false" ht="30" hidden="false" customHeight="true" outlineLevel="0" collapsed="false">
      <c r="A8" s="16" t="n">
        <v>4</v>
      </c>
      <c r="B8" s="26" t="s">
        <v>643</v>
      </c>
      <c r="C8" s="51" t="s">
        <v>644</v>
      </c>
    </row>
    <row r="9" customFormat="false" ht="30" hidden="false" customHeight="true" outlineLevel="0" collapsed="false">
      <c r="A9" s="16" t="n">
        <v>5</v>
      </c>
      <c r="B9" s="22" t="s">
        <v>645</v>
      </c>
      <c r="C9" s="51" t="s">
        <v>646</v>
      </c>
    </row>
    <row r="10" customFormat="false" ht="30" hidden="false" customHeight="true" outlineLevel="0" collapsed="false">
      <c r="A10" s="16" t="n">
        <v>6</v>
      </c>
      <c r="B10" s="26" t="s">
        <v>647</v>
      </c>
      <c r="C10" s="51" t="s">
        <v>648</v>
      </c>
    </row>
    <row r="11" customFormat="false" ht="30" hidden="false" customHeight="true" outlineLevel="0" collapsed="false">
      <c r="A11" s="16" t="n">
        <v>7</v>
      </c>
      <c r="B11" s="26" t="s">
        <v>649</v>
      </c>
      <c r="C11" s="51" t="s">
        <v>650</v>
      </c>
    </row>
    <row r="12" customFormat="false" ht="30" hidden="false" customHeight="true" outlineLevel="0" collapsed="false">
      <c r="A12" s="16" t="n">
        <v>8</v>
      </c>
      <c r="B12" s="26" t="s">
        <v>651</v>
      </c>
      <c r="C12" s="51" t="s">
        <v>652</v>
      </c>
    </row>
    <row r="13" customFormat="false" ht="30" hidden="false" customHeight="true" outlineLevel="0" collapsed="false">
      <c r="A13" s="16" t="n">
        <v>9</v>
      </c>
      <c r="B13" s="26" t="s">
        <v>653</v>
      </c>
      <c r="C13" s="51" t="s">
        <v>654</v>
      </c>
    </row>
    <row r="14" customFormat="false" ht="30" hidden="false" customHeight="true" outlineLevel="0" collapsed="false">
      <c r="A14" s="16" t="n">
        <v>10</v>
      </c>
      <c r="B14" s="26" t="s">
        <v>655</v>
      </c>
      <c r="C14" s="51" t="s">
        <v>656</v>
      </c>
    </row>
    <row r="15" customFormat="false" ht="30" hidden="false" customHeight="true" outlineLevel="0" collapsed="false">
      <c r="A15" s="16" t="n">
        <v>11</v>
      </c>
      <c r="B15" s="26" t="s">
        <v>657</v>
      </c>
      <c r="C15" s="51" t="s">
        <v>658</v>
      </c>
    </row>
    <row r="16" customFormat="false" ht="30" hidden="false" customHeight="true" outlineLevel="0" collapsed="false">
      <c r="A16" s="16" t="n">
        <v>12</v>
      </c>
      <c r="B16" s="26" t="s">
        <v>659</v>
      </c>
      <c r="C16" s="51" t="s">
        <v>660</v>
      </c>
    </row>
    <row r="17" customFormat="false" ht="30" hidden="false" customHeight="true" outlineLevel="0" collapsed="false">
      <c r="A17" s="16" t="n">
        <v>13</v>
      </c>
      <c r="B17" s="26" t="s">
        <v>661</v>
      </c>
      <c r="C17" s="51" t="s">
        <v>662</v>
      </c>
    </row>
    <row r="18" customFormat="false" ht="30" hidden="false" customHeight="true" outlineLevel="0" collapsed="false">
      <c r="A18" s="16" t="n">
        <v>14</v>
      </c>
      <c r="B18" s="26" t="s">
        <v>663</v>
      </c>
      <c r="C18" s="51" t="s">
        <v>664</v>
      </c>
    </row>
    <row r="19" customFormat="false" ht="30" hidden="false" customHeight="true" outlineLevel="0" collapsed="false">
      <c r="A19" s="16" t="n">
        <v>15</v>
      </c>
      <c r="B19" s="26" t="s">
        <v>665</v>
      </c>
      <c r="C19" s="51" t="s">
        <v>666</v>
      </c>
    </row>
    <row r="20" customFormat="false" ht="30" hidden="false" customHeight="true" outlineLevel="0" collapsed="false">
      <c r="A20" s="16" t="n">
        <v>16</v>
      </c>
      <c r="B20" s="26" t="s">
        <v>667</v>
      </c>
      <c r="C20" s="51" t="s">
        <v>668</v>
      </c>
    </row>
    <row r="21" customFormat="false" ht="30" hidden="false" customHeight="true" outlineLevel="0" collapsed="false">
      <c r="A21" s="16" t="n">
        <v>17</v>
      </c>
      <c r="B21" s="26" t="s">
        <v>669</v>
      </c>
      <c r="C21" s="51" t="s">
        <v>670</v>
      </c>
    </row>
    <row r="22" customFormat="false" ht="30" hidden="false" customHeight="true" outlineLevel="0" collapsed="false">
      <c r="A22" s="16" t="n">
        <v>18</v>
      </c>
      <c r="B22" s="26" t="s">
        <v>671</v>
      </c>
      <c r="C22" s="51" t="s">
        <v>672</v>
      </c>
    </row>
    <row r="23" customFormat="false" ht="30" hidden="false" customHeight="true" outlineLevel="0" collapsed="false">
      <c r="A23" s="16" t="n">
        <v>19</v>
      </c>
      <c r="B23" s="26" t="s">
        <v>673</v>
      </c>
      <c r="C23" s="51" t="s">
        <v>674</v>
      </c>
    </row>
    <row r="24" customFormat="false" ht="30" hidden="false" customHeight="true" outlineLevel="0" collapsed="false">
      <c r="A24" s="16" t="n">
        <v>20</v>
      </c>
      <c r="B24" s="26" t="s">
        <v>675</v>
      </c>
      <c r="C24" s="51" t="s">
        <v>676</v>
      </c>
    </row>
    <row r="25" customFormat="false" ht="30" hidden="false" customHeight="true" outlineLevel="0" collapsed="false">
      <c r="A25" s="16" t="n">
        <v>21</v>
      </c>
      <c r="B25" s="26" t="s">
        <v>677</v>
      </c>
      <c r="C25" s="51" t="s">
        <v>678</v>
      </c>
    </row>
    <row r="26" customFormat="false" ht="30" hidden="false" customHeight="true" outlineLevel="0" collapsed="false">
      <c r="A26" s="16" t="n">
        <v>22</v>
      </c>
      <c r="B26" s="22" t="s">
        <v>679</v>
      </c>
      <c r="C26" s="51" t="s">
        <v>680</v>
      </c>
    </row>
    <row r="27" customFormat="false" ht="30" hidden="false" customHeight="true" outlineLevel="0" collapsed="false">
      <c r="A27" s="16" t="n">
        <v>23</v>
      </c>
      <c r="B27" s="22" t="s">
        <v>681</v>
      </c>
      <c r="C27" s="57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2026-10-10T05:23:06Z</dcterms:created>
  <dc:creator>openpyxl</dc:creator>
  <dc:description/>
  <dc:language>en-US</dc:language>
  <cp:lastModifiedBy/>
  <dcterms:modified xsi:type="dcterms:W3CDTF">2026-10-10T05:23:08Z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